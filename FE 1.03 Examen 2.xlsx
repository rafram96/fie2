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4 Cursos dictados\UTEC\100 Finanzas Empresariales\2025-2\Examen 2\"/>
    </mc:Choice>
  </mc:AlternateContent>
  <xr:revisionPtr revIDLastSave="0" documentId="13_ncr:1_{3294325D-CF47-431C-BA86-0DB464AE6C59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Indicaciones" sheetId="1" r:id="rId1"/>
    <sheet name="Parte 1" sheetId="4" r:id="rId2"/>
    <sheet name="Parte 2" sheetId="3" r:id="rId3"/>
    <sheet name="Parte 3" sheetId="5" r:id="rId4"/>
    <sheet name="Parte 4" sheetId="6" r:id="rId5"/>
    <sheet name="Parte 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6" l="1"/>
  <c r="F12" i="6" s="1"/>
  <c r="F15" i="6" s="1"/>
  <c r="F16" i="6" s="1"/>
  <c r="G10" i="6"/>
  <c r="G12" i="6" s="1"/>
  <c r="G15" i="6" s="1"/>
  <c r="G16" i="6" s="1"/>
  <c r="E10" i="6"/>
  <c r="E12" i="6" s="1"/>
  <c r="E15" i="6" s="1"/>
  <c r="E16" i="6" s="1"/>
  <c r="A1" i="6"/>
  <c r="F15" i="1" s="1"/>
  <c r="M24" i="6"/>
  <c r="L24" i="6"/>
  <c r="K24" i="6"/>
  <c r="M21" i="6"/>
  <c r="M25" i="6" s="1"/>
  <c r="L21" i="6"/>
  <c r="K21" i="6"/>
  <c r="M16" i="6"/>
  <c r="L16" i="6"/>
  <c r="K16" i="6"/>
  <c r="M12" i="6"/>
  <c r="L12" i="6"/>
  <c r="K12" i="6"/>
  <c r="A1" i="5"/>
  <c r="K24" i="5"/>
  <c r="L24" i="5"/>
  <c r="J24" i="5"/>
  <c r="L21" i="5"/>
  <c r="K21" i="5"/>
  <c r="J21" i="5"/>
  <c r="K16" i="5"/>
  <c r="L16" i="5"/>
  <c r="J16" i="5"/>
  <c r="K12" i="5"/>
  <c r="L12" i="5"/>
  <c r="J12" i="5"/>
  <c r="E10" i="5"/>
  <c r="E12" i="5" s="1"/>
  <c r="E15" i="5" s="1"/>
  <c r="G10" i="5"/>
  <c r="F10" i="5"/>
  <c r="F12" i="5" s="1"/>
  <c r="F15" i="5" s="1"/>
  <c r="F16" i="5" s="1"/>
  <c r="F17" i="5" s="1"/>
  <c r="K28" i="5" s="1"/>
  <c r="G12" i="5"/>
  <c r="G15" i="5" s="1"/>
  <c r="L17" i="6" l="1"/>
  <c r="K17" i="6"/>
  <c r="F17" i="6"/>
  <c r="L28" i="6" s="1"/>
  <c r="E17" i="6"/>
  <c r="L25" i="6"/>
  <c r="K25" i="6"/>
  <c r="M17" i="6"/>
  <c r="J25" i="5"/>
  <c r="J17" i="5"/>
  <c r="K25" i="5"/>
  <c r="L17" i="5"/>
  <c r="L25" i="5"/>
  <c r="K17" i="5"/>
  <c r="E16" i="5"/>
  <c r="E17" i="5" s="1"/>
  <c r="J28" i="5" s="1"/>
  <c r="G16" i="5"/>
  <c r="G17" i="5" s="1"/>
  <c r="L28" i="5" s="1"/>
  <c r="A1" i="3"/>
  <c r="K28" i="6" l="1"/>
  <c r="G17" i="6"/>
  <c r="E18" i="1"/>
  <c r="D16" i="1"/>
  <c r="D15" i="1"/>
  <c r="D14" i="1"/>
  <c r="A1" i="7"/>
  <c r="F16" i="1" s="1"/>
  <c r="M28" i="6" l="1"/>
  <c r="A1" i="4"/>
  <c r="F12" i="1" l="1"/>
  <c r="F13" i="1" l="1"/>
  <c r="F14" i="1"/>
  <c r="D13" i="1"/>
  <c r="F18" i="1" l="1"/>
  <c r="D12" i="1"/>
</calcChain>
</file>

<file path=xl/sharedStrings.xml><?xml version="1.0" encoding="utf-8"?>
<sst xmlns="http://schemas.openxmlformats.org/spreadsheetml/2006/main" count="178" uniqueCount="115">
  <si>
    <t>Indicaciones:</t>
  </si>
  <si>
    <t>Calificación:</t>
  </si>
  <si>
    <t>Hoja</t>
  </si>
  <si>
    <t>Tema</t>
  </si>
  <si>
    <t>Puntaje por pregunta</t>
  </si>
  <si>
    <t>Puntaje del alumno</t>
  </si>
  <si>
    <t>Finanzas Empresariales</t>
  </si>
  <si>
    <t>- De identificarse trabajos copiados, parcial o totalmente, se procederá y sancionará según reglamento.</t>
  </si>
  <si>
    <t>1</t>
  </si>
  <si>
    <t>2</t>
  </si>
  <si>
    <t>3</t>
  </si>
  <si>
    <t>4</t>
  </si>
  <si>
    <t xml:space="preserve"> </t>
  </si>
  <si>
    <t>- Duración: 50 minutos.</t>
  </si>
  <si>
    <t>Parte 1</t>
  </si>
  <si>
    <t>Parte 2</t>
  </si>
  <si>
    <t>Parte 3</t>
  </si>
  <si>
    <t>Preguntas de teoría</t>
  </si>
  <si>
    <t>Interprete el resultado.</t>
  </si>
  <si>
    <t>Interpretación</t>
  </si>
  <si>
    <t>Las preguntas de teoría las encontrarán en Canvas</t>
  </si>
  <si>
    <t>Estado de flujo de efectivo</t>
  </si>
  <si>
    <t>Ratios</t>
  </si>
  <si>
    <t>Tendencias</t>
  </si>
  <si>
    <t>Tasas de interés</t>
  </si>
  <si>
    <t>2025-2</t>
  </si>
  <si>
    <t>- Al terminar, carga tu archivo de Excel en Canvas. Debes mostrar las fórmulas empleadas, no solo los valores.</t>
  </si>
  <si>
    <t>- La respuesta debe indicarla en la celda resaltada en amarrillo, haciendo referencia a la celda en la que ha hecho sus cálculos.</t>
  </si>
  <si>
    <t>- No agregue ningún valor en la celdas en color verde.</t>
  </si>
  <si>
    <t>- El desarrollo de la prueba debe ser de manera individual.y no se permite materiales de apoyo.</t>
  </si>
  <si>
    <t>Examen 2</t>
  </si>
  <si>
    <t>Elabore el flujo neto operativo.</t>
  </si>
  <si>
    <t>Elabore el flujo neto de inversión.</t>
  </si>
  <si>
    <t>Elabore el flujo neto de financiamiento.</t>
  </si>
  <si>
    <t>Disminución en Inventarios</t>
  </si>
  <si>
    <t>Compra de nuevo local comercial</t>
  </si>
  <si>
    <t>Compra de equipos de computo</t>
  </si>
  <si>
    <t>Préstamo bancario a largo plazo recibido</t>
  </si>
  <si>
    <t>Pago de dividendos a accionistas</t>
  </si>
  <si>
    <t>Depreciación</t>
  </si>
  <si>
    <t>En Soles</t>
  </si>
  <si>
    <t>Utilidad Neta</t>
  </si>
  <si>
    <t>Amortización</t>
  </si>
  <si>
    <t>Aumento en cuentas por cobrar</t>
  </si>
  <si>
    <t>Aumento en cuentas por pagar</t>
  </si>
  <si>
    <t>Disminución en sueldos por pagar</t>
  </si>
  <si>
    <t>Cancelación de deuda</t>
  </si>
  <si>
    <t>Datos</t>
  </si>
  <si>
    <t>Calcule el valor futuro de ambas alternativas a los 3 años</t>
  </si>
  <si>
    <t>Calcule la TEA de la Alternativa A.</t>
  </si>
  <si>
    <t>Convierta la TET de la Alternativa B a TEA.</t>
  </si>
  <si>
    <t>Estado de Resultados</t>
  </si>
  <si>
    <t>Ingresos por Ventas</t>
  </si>
  <si>
    <t>(-) Costo de Ventas</t>
  </si>
  <si>
    <t>Del 01/enero a 31/diciembre de …</t>
  </si>
  <si>
    <t>Utilidad bruta</t>
  </si>
  <si>
    <t>Utilidad antes de impuestos</t>
  </si>
  <si>
    <t>Utilidad neta</t>
  </si>
  <si>
    <t>Utilidad operativa</t>
  </si>
  <si>
    <t>(+) Ingresos financieros</t>
  </si>
  <si>
    <t>(-) Gastos financieros</t>
  </si>
  <si>
    <t>(-) Gastos operativos</t>
  </si>
  <si>
    <t>(-) Impuesto a la Renta (29.5%)</t>
  </si>
  <si>
    <t>Estado de Situación Financiera</t>
  </si>
  <si>
    <t>ACTIVO</t>
  </si>
  <si>
    <t>ACTIVO CORRIENTE</t>
  </si>
  <si>
    <t>Inventarios</t>
  </si>
  <si>
    <t>Total Activo Corriente</t>
  </si>
  <si>
    <t>ACTIVO NO CORRIENTE</t>
  </si>
  <si>
    <t>Propiedad, Planta y Equipo</t>
  </si>
  <si>
    <t>(-) Depreciación Acumulada</t>
  </si>
  <si>
    <t>Total Activo No Corriente</t>
  </si>
  <si>
    <t>TOTAL ACTIVO</t>
  </si>
  <si>
    <t>PASIVO CORRIENTE</t>
  </si>
  <si>
    <t>Cuentas por Pagar Comerciales</t>
  </si>
  <si>
    <t>Sobregiro Bancario</t>
  </si>
  <si>
    <t>Total Pasivo Corriente</t>
  </si>
  <si>
    <t>PASIVO NO CORRIENTE</t>
  </si>
  <si>
    <t>Préstamos Bancarios L/P</t>
  </si>
  <si>
    <t>Total Pasivo No Corriente</t>
  </si>
  <si>
    <t>TOTAL PASIVO</t>
  </si>
  <si>
    <t>PATRIMONIO</t>
  </si>
  <si>
    <t>Capital Social</t>
  </si>
  <si>
    <t>Resultados Acumulados</t>
  </si>
  <si>
    <t>Total Patrimonio</t>
  </si>
  <si>
    <t>TOTAL PASIVO Y PATRIMONIO</t>
  </si>
  <si>
    <t>Al 31 de diciembre de …</t>
  </si>
  <si>
    <t>Cuentas por cobrar comerciales</t>
  </si>
  <si>
    <t>Caja y bancos</t>
  </si>
  <si>
    <t>Dividendos</t>
  </si>
  <si>
    <t>TechSol S.A.</t>
  </si>
  <si>
    <t>Mida la capacidad de la empresa para pagar sus obligaciones a CP.</t>
  </si>
  <si>
    <t>Mida la generación de utilidades de la empresa versus sus ventas o inversión.</t>
  </si>
  <si>
    <t>Evalúe la eficiencia de la empresa en la gestión de sus recursos.</t>
  </si>
  <si>
    <t>Mida la capacidad de la empresa para pagos de LP y estructura de capital.</t>
  </si>
  <si>
    <t>Nombre de ratio</t>
  </si>
  <si>
    <t>Alternativa "A"</t>
  </si>
  <si>
    <t>y Alternativa "B"</t>
  </si>
  <si>
    <t>En las siguientes preguntas utilice los ratios que crea conveniente:</t>
  </si>
  <si>
    <t>Cálculo del ratio</t>
  </si>
  <si>
    <t>En el Estado de Resultados del año 2024:</t>
  </si>
  <si>
    <t>Calcule la participación porcentual de cada partida.</t>
  </si>
  <si>
    <t>En el Estado de Situación Financiera:</t>
  </si>
  <si>
    <t>Calcule el crecimiento de cada partida respecto al año 2022.</t>
  </si>
  <si>
    <t>Elabore el Estado de flujo de efectivo.</t>
  </si>
  <si>
    <t>El Sr. Martínez desea saber cuánto debe depositar hoy para retirar S/ 70,000 en 5 años usando la mejor alternativa.</t>
  </si>
  <si>
    <t>Interprete el resultado anterior.</t>
  </si>
  <si>
    <t>Estas perguntas serían alternativas para modificar el original</t>
  </si>
  <si>
    <t>Nombre del costo o gasto que tiene mayor peso.</t>
  </si>
  <si>
    <t>Costo de Ventas</t>
  </si>
  <si>
    <t>Gastos operativos</t>
  </si>
  <si>
    <t>Gastos financieros</t>
  </si>
  <si>
    <t>Impuesto a la Renta (29.5%)</t>
  </si>
  <si>
    <t>Ingresos financieros</t>
  </si>
  <si>
    <t>Nombre del ítem que creció menos el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</si>
</sst>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S/&quot;\ #,##0;[Red]\-&quot;S/&quot;\ #,##0"/>
    <numFmt numFmtId="164" formatCode="ddd\ dd/mmm/yyyy"/>
    <numFmt numFmtId="165" formatCode="0.0\ \ \ &quot;ptos&quot;"/>
    <numFmt numFmtId="166" formatCode="0.00\ \ \ &quot;ptos&quot;"/>
    <numFmt numFmtId="167" formatCode="00.00"/>
    <numFmt numFmtId="168" formatCode="\(\ @\ \)"/>
    <numFmt numFmtId="169" formatCode="0.00\ &quot;pto(s)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F1115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8" fontId="2" fillId="0" borderId="0" applyFill="0" applyBorder="0" applyProtection="0">
      <alignment horizontal="center" vertical="center"/>
      <protection locked="0"/>
    </xf>
  </cellStyleXfs>
  <cellXfs count="8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/>
    <xf numFmtId="49" fontId="2" fillId="0" borderId="0" xfId="0" quotePrefix="1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165" fontId="2" fillId="0" borderId="3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165" fontId="2" fillId="3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 indent="1"/>
    </xf>
    <xf numFmtId="167" fontId="3" fillId="3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8" fillId="0" borderId="1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quotePrefix="1"/>
    <xf numFmtId="168" fontId="2" fillId="0" borderId="0" xfId="1" applyProtection="1">
      <alignment horizontal="center" vertical="center"/>
    </xf>
    <xf numFmtId="0" fontId="0" fillId="0" borderId="0" xfId="0" applyAlignment="1">
      <alignment horizontal="right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1" fontId="9" fillId="0" borderId="0" xfId="0" applyNumberFormat="1" applyFont="1" applyAlignment="1" applyProtection="1">
      <alignment vertical="center"/>
      <protection locked="0"/>
    </xf>
    <xf numFmtId="1" fontId="9" fillId="0" borderId="0" xfId="0" applyNumberFormat="1" applyFont="1"/>
    <xf numFmtId="1" fontId="9" fillId="0" borderId="0" xfId="0" applyNumberFormat="1" applyFont="1" applyAlignment="1">
      <alignment horizontal="center" vertical="center"/>
    </xf>
    <xf numFmtId="1" fontId="0" fillId="0" borderId="0" xfId="0" applyNumberFormat="1"/>
    <xf numFmtId="2" fontId="9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right" vertical="center"/>
    </xf>
    <xf numFmtId="6" fontId="0" fillId="0" borderId="0" xfId="0" applyNumberFormat="1" applyAlignment="1">
      <alignment vertical="center"/>
    </xf>
    <xf numFmtId="6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10" fontId="0" fillId="0" borderId="0" xfId="0" applyNumberFormat="1" applyAlignment="1">
      <alignment horizontal="center"/>
    </xf>
    <xf numFmtId="10" fontId="10" fillId="4" borderId="0" xfId="0" applyNumberFormat="1" applyFont="1" applyFill="1" applyAlignment="1">
      <alignment horizontal="center"/>
    </xf>
    <xf numFmtId="0" fontId="11" fillId="0" borderId="0" xfId="0" applyFont="1"/>
    <xf numFmtId="4" fontId="10" fillId="4" borderId="0" xfId="0" applyNumberFormat="1" applyFont="1" applyFill="1" applyAlignment="1">
      <alignment horizontal="center"/>
    </xf>
    <xf numFmtId="0" fontId="3" fillId="0" borderId="0" xfId="0" applyFont="1" applyAlignment="1" applyProtection="1">
      <alignment vertical="center"/>
      <protection locked="0"/>
    </xf>
    <xf numFmtId="3" fontId="10" fillId="0" borderId="0" xfId="0" applyNumberFormat="1" applyFont="1"/>
    <xf numFmtId="3" fontId="0" fillId="0" borderId="0" xfId="0" applyNumberFormat="1"/>
    <xf numFmtId="168" fontId="2" fillId="0" borderId="0" xfId="1" applyAlignment="1" applyProtection="1">
      <alignment horizontal="lef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3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0" fillId="4" borderId="0" xfId="0" applyFill="1"/>
    <xf numFmtId="0" fontId="10" fillId="4" borderId="0" xfId="0" applyFont="1" applyFill="1"/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/>
    </xf>
    <xf numFmtId="0" fontId="15" fillId="0" borderId="0" xfId="0" applyFont="1"/>
    <xf numFmtId="169" fontId="15" fillId="0" borderId="0" xfId="0" applyNumberFormat="1" applyFont="1" applyAlignment="1">
      <alignment horizontal="center" vertical="center"/>
    </xf>
    <xf numFmtId="0" fontId="16" fillId="4" borderId="0" xfId="0" applyFont="1" applyFill="1"/>
    <xf numFmtId="0" fontId="15" fillId="4" borderId="0" xfId="0" applyFont="1" applyFill="1"/>
    <xf numFmtId="0" fontId="16" fillId="3" borderId="0" xfId="0" applyFont="1" applyFill="1"/>
    <xf numFmtId="0" fontId="0" fillId="3" borderId="0" xfId="0" applyFill="1"/>
  </cellXfs>
  <cellStyles count="2">
    <cellStyle name="Normal" xfId="0" builtinId="0"/>
    <cellStyle name="Puntaje" xfId="1" xr:uid="{42FAF46B-0077-4D76-8F1B-1F071392C388}"/>
  </cellStyles>
  <dxfs count="1">
    <dxf>
      <font>
        <color theme="9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22746</xdr:colOff>
      <xdr:row>0</xdr:row>
      <xdr:rowOff>0</xdr:rowOff>
    </xdr:from>
    <xdr:to>
      <xdr:col>2</xdr:col>
      <xdr:colOff>166241</xdr:colOff>
      <xdr:row>1</xdr:row>
      <xdr:rowOff>141940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31EE1CA0-F6CC-4729-892F-CF7AEB6626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187657" y="0"/>
          <a:ext cx="1087465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231526</xdr:colOff>
      <xdr:row>0</xdr:row>
      <xdr:rowOff>0</xdr:rowOff>
    </xdr:from>
    <xdr:ext cx="4218620" cy="792000"/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9F8862A5-C992-4DB8-8563-25D648152102}"/>
            </a:ext>
          </a:extLst>
        </xdr:cNvPr>
        <xdr:cNvSpPr/>
      </xdr:nvSpPr>
      <xdr:spPr>
        <a:xfrm>
          <a:off x="4189377" y="0"/>
          <a:ext cx="4218620" cy="792000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4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Parte 2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: </a:t>
          </a:r>
          <a:r>
            <a:rPr lang="es-MX" sz="1100" b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                                                                                  </a:t>
          </a:r>
        </a:p>
        <a:p>
          <a:pPr eaLnBrk="1" fontAlgn="auto" latinLnBrk="0" hangingPunct="1">
            <a:lnSpc>
              <a:spcPct val="10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empresa 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 S.A.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comercializa equipos de cómputo y línea blanca. Opera mediante un local principal y ventas online. 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Inició operaciones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01/ene/2024 y </a:t>
          </a:r>
          <a:r>
            <a:rPr lang="es-MX" sz="1100" b="0">
              <a:solidFill>
                <a:sysClr val="windowText" lastClr="000000"/>
              </a:solidFill>
              <a:effectLst/>
              <a:latin typeface="Calibri (Cuerpo)"/>
              <a:ea typeface="Times New Roman" panose="02020603050405020304" pitchFamily="18" charset="0"/>
              <a:cs typeface="+mn-cs"/>
            </a:rPr>
            <a:t>cuenta con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información al 31/dic/2024:</a:t>
          </a:r>
          <a:endParaRPr lang="es-MX" sz="1100" b="0">
            <a:solidFill>
              <a:sysClr val="windowText" lastClr="000000"/>
            </a:solidFill>
            <a:effectLst/>
            <a:latin typeface="Calibri (Cuerpo)"/>
            <a:ea typeface="Times New Roman" panose="02020603050405020304" pitchFamily="18" charset="0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334380</xdr:colOff>
      <xdr:row>0</xdr:row>
      <xdr:rowOff>0</xdr:rowOff>
    </xdr:from>
    <xdr:ext cx="5348938" cy="511790"/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CF5CF149-BA09-4592-B951-FA1D233EBD6E}"/>
            </a:ext>
          </a:extLst>
        </xdr:cNvPr>
        <xdr:cNvSpPr/>
      </xdr:nvSpPr>
      <xdr:spPr>
        <a:xfrm>
          <a:off x="1630917" y="0"/>
          <a:ext cx="5348938" cy="511790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Parte 3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</a:t>
          </a:r>
          <a:b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</a:b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La empresa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TechSol S.A. se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dedica a la comercialización de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accesorios y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equipos de computación. Realiza ventas presenciales en su local comercial y a través de e-commerce.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334380</xdr:colOff>
      <xdr:row>0</xdr:row>
      <xdr:rowOff>0</xdr:rowOff>
    </xdr:from>
    <xdr:ext cx="5348938" cy="511790"/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C43DF15F-6532-4222-9028-29FB1C459283}"/>
            </a:ext>
          </a:extLst>
        </xdr:cNvPr>
        <xdr:cNvSpPr/>
      </xdr:nvSpPr>
      <xdr:spPr>
        <a:xfrm>
          <a:off x="1630917" y="0"/>
          <a:ext cx="5348938" cy="511790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Parte 3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</a:t>
          </a:r>
          <a:b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</a:b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La empresa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TechSol S.A. se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dedica a la comercialización de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accesorios y 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equipos de computación. Realiza ventas presenciales en su local comercial y a través de e-commerce.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61426</xdr:colOff>
      <xdr:row>0</xdr:row>
      <xdr:rowOff>0</xdr:rowOff>
    </xdr:from>
    <xdr:ext cx="3150673" cy="1233173"/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82F8196D-B476-4823-8C52-E8ADC6C85E46}"/>
            </a:ext>
          </a:extLst>
        </xdr:cNvPr>
        <xdr:cNvSpPr/>
      </xdr:nvSpPr>
      <xdr:spPr>
        <a:xfrm>
          <a:off x="4331225" y="0"/>
          <a:ext cx="3150673" cy="1233173"/>
        </a:xfrm>
        <a:prstGeom prst="rect">
          <a:avLst/>
        </a:prstGeom>
        <a:solidFill>
          <a:srgbClr val="E6FAFF"/>
        </a:solidFill>
        <a:ln w="12700">
          <a:solidFill>
            <a:sysClr val="windowText" lastClr="00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  <a:buClrTx/>
            <a:buSzTx/>
            <a:buFontTx/>
            <a:buNone/>
            <a:tabLst/>
            <a:defRPr/>
          </a:pPr>
          <a:r>
            <a:rPr lang="es-PE" sz="1100" b="1" u="sng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Parte 5</a:t>
          </a:r>
          <a:r>
            <a:rPr lang="es-PE" sz="1100" b="1" u="none" noProof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</a:t>
          </a:r>
          <a:endParaRPr lang="es-MX" sz="1100" b="0">
            <a:solidFill>
              <a:sysClr val="windowText" lastClr="000000"/>
            </a:solidFill>
            <a:effectLst/>
            <a:latin typeface="+mn-lt"/>
            <a:ea typeface="Times New Roman" panose="02020603050405020304" pitchFamily="18" charset="0"/>
            <a:cs typeface="+mn-cs"/>
          </a:endParaRPr>
        </a:p>
        <a:p>
          <a:pPr algn="l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El Sr. Martínez tiene S/ 30,000 y evalúa dos alternativas de inversión a 5 años:</a:t>
          </a:r>
        </a:p>
        <a:p>
          <a:pPr marL="108000" indent="-108000" algn="l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-	</a:t>
          </a:r>
          <a:r>
            <a:rPr lang="es-MX" sz="1100" b="1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Alternativa A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 Depósito a plazo fijo. Tasa nominal </a:t>
          </a:r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anual de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 14% con capitalización mensual.</a:t>
          </a:r>
        </a:p>
        <a:p>
          <a:pPr marL="108000" indent="-108000" algn="l" eaLnBrk="1" fontAlgn="auto" latinLnBrk="0" hangingPunct="1">
            <a:lnSpc>
              <a:spcPct val="70000"/>
            </a:lnSpc>
            <a:spcBef>
              <a:spcPts val="0"/>
            </a:spcBef>
            <a:spcAft>
              <a:spcPts val="400"/>
            </a:spcAft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-	</a:t>
          </a:r>
          <a:r>
            <a:rPr lang="es-MX" sz="1100" b="1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Alternativa B</a:t>
          </a: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Times New Roman" panose="02020603050405020304" pitchFamily="18" charset="0"/>
              <a:cs typeface="+mn-cs"/>
            </a:rPr>
            <a:t>: Fondo de inversión. Tasa efectiva trimestral de 3.6%.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18"/>
  <sheetViews>
    <sheetView tabSelected="1" zoomScale="120" zoomScaleNormal="120" workbookViewId="0">
      <selection activeCell="E7" sqref="E7"/>
    </sheetView>
  </sheetViews>
  <sheetFormatPr baseColWidth="10" defaultColWidth="8.796875" defaultRowHeight="14" x14ac:dyDescent="0.3"/>
  <cols>
    <col min="1" max="1" width="2.3984375" customWidth="1"/>
    <col min="2" max="2" width="13.796875" customWidth="1"/>
    <col min="3" max="3" width="8.796875" customWidth="1"/>
    <col min="4" max="4" width="45.59765625" customWidth="1"/>
    <col min="5" max="6" width="20.796875" customWidth="1"/>
    <col min="7" max="7" width="13.796875" customWidth="1"/>
  </cols>
  <sheetData>
    <row r="1" spans="1:7" ht="31.2" x14ac:dyDescent="0.3">
      <c r="A1" s="1"/>
      <c r="B1" s="1"/>
      <c r="C1" s="1"/>
      <c r="D1" s="51" t="s">
        <v>30</v>
      </c>
      <c r="E1" s="1"/>
      <c r="F1" s="1"/>
      <c r="G1" s="25" t="s">
        <v>6</v>
      </c>
    </row>
    <row r="2" spans="1:7" ht="14.55" thickBot="1" x14ac:dyDescent="0.35">
      <c r="A2" s="1"/>
      <c r="B2" s="2"/>
      <c r="C2" s="2"/>
      <c r="D2" s="2"/>
      <c r="E2" s="2"/>
      <c r="F2" s="2"/>
      <c r="G2" s="3" t="s">
        <v>25</v>
      </c>
    </row>
    <row r="3" spans="1:7" ht="14.55" thickTop="1" x14ac:dyDescent="0.3">
      <c r="A3" s="1"/>
      <c r="B3" s="1"/>
      <c r="C3" s="4"/>
      <c r="D3" s="4"/>
      <c r="E3" s="4"/>
      <c r="F3" s="4"/>
      <c r="G3" s="4"/>
    </row>
    <row r="4" spans="1:7" x14ac:dyDescent="0.3">
      <c r="A4" s="1"/>
      <c r="B4" s="5" t="s">
        <v>0</v>
      </c>
      <c r="C4" s="6" t="s">
        <v>13</v>
      </c>
      <c r="D4" s="1"/>
      <c r="E4" s="1"/>
      <c r="F4" s="4"/>
      <c r="G4" s="7"/>
    </row>
    <row r="5" spans="1:7" x14ac:dyDescent="0.3">
      <c r="A5" s="1"/>
      <c r="B5" s="1"/>
      <c r="C5" s="6" t="s">
        <v>26</v>
      </c>
      <c r="D5" s="1"/>
      <c r="E5" s="1"/>
      <c r="F5" s="1"/>
    </row>
    <row r="6" spans="1:7" x14ac:dyDescent="0.3">
      <c r="A6" s="1"/>
      <c r="B6" s="1"/>
      <c r="C6" s="35" t="s">
        <v>27</v>
      </c>
      <c r="D6" s="1"/>
      <c r="E6" s="1"/>
      <c r="F6" s="1"/>
      <c r="G6" s="4"/>
    </row>
    <row r="7" spans="1:7" x14ac:dyDescent="0.3">
      <c r="A7" s="1"/>
      <c r="B7" s="1"/>
      <c r="C7" s="35" t="s">
        <v>28</v>
      </c>
      <c r="D7" s="1"/>
      <c r="E7" s="1"/>
      <c r="F7" s="1"/>
      <c r="G7" s="4"/>
    </row>
    <row r="8" spans="1:7" x14ac:dyDescent="0.3">
      <c r="A8" s="1"/>
      <c r="B8" s="1"/>
      <c r="C8" s="35" t="s">
        <v>29</v>
      </c>
      <c r="D8" s="1"/>
      <c r="E8" s="1"/>
      <c r="F8" s="1"/>
      <c r="G8" s="4"/>
    </row>
    <row r="9" spans="1:7" x14ac:dyDescent="0.3">
      <c r="A9" s="1"/>
      <c r="B9" s="1"/>
      <c r="C9" s="35" t="s">
        <v>7</v>
      </c>
      <c r="D9" s="1"/>
      <c r="E9" s="1"/>
      <c r="F9" s="1"/>
      <c r="G9" s="4"/>
    </row>
    <row r="10" spans="1:7" x14ac:dyDescent="0.3">
      <c r="A10" s="1"/>
      <c r="B10" s="1"/>
      <c r="C10" s="1"/>
      <c r="D10" s="1"/>
      <c r="E10" s="1"/>
      <c r="F10" s="1"/>
      <c r="G10" s="4"/>
    </row>
    <row r="11" spans="1:7" ht="18" customHeight="1" x14ac:dyDescent="0.3">
      <c r="A11" s="1"/>
      <c r="B11" s="4" t="s">
        <v>1</v>
      </c>
      <c r="C11" s="8" t="s">
        <v>2</v>
      </c>
      <c r="D11" s="8" t="s">
        <v>3</v>
      </c>
      <c r="E11" s="8" t="s">
        <v>4</v>
      </c>
      <c r="F11" s="8" t="s">
        <v>5</v>
      </c>
      <c r="G11" s="4"/>
    </row>
    <row r="12" spans="1:7" ht="18" customHeight="1" x14ac:dyDescent="0.3">
      <c r="A12" s="1"/>
      <c r="B12" s="1"/>
      <c r="C12" s="9" t="s">
        <v>14</v>
      </c>
      <c r="D12" s="10" t="str">
        <f>'Parte 1'!B1</f>
        <v>Preguntas de teoría</v>
      </c>
      <c r="E12" s="11">
        <v>5</v>
      </c>
      <c r="F12" s="12">
        <f>'Parte 1'!A1</f>
        <v>0</v>
      </c>
      <c r="G12" s="4"/>
    </row>
    <row r="13" spans="1:7" ht="18" customHeight="1" x14ac:dyDescent="0.3">
      <c r="A13" s="1"/>
      <c r="B13" s="1"/>
      <c r="C13" s="13" t="s">
        <v>15</v>
      </c>
      <c r="D13" s="14" t="str">
        <f>'Parte 2'!B1</f>
        <v>Estado de flujo de efectivo</v>
      </c>
      <c r="E13" s="15">
        <v>4</v>
      </c>
      <c r="F13" s="16">
        <f>'Parte 2'!A1</f>
        <v>0</v>
      </c>
      <c r="G13" s="4"/>
    </row>
    <row r="14" spans="1:7" ht="18" customHeight="1" x14ac:dyDescent="0.3">
      <c r="A14" s="1"/>
      <c r="B14" s="1"/>
      <c r="C14" s="17" t="s">
        <v>16</v>
      </c>
      <c r="D14" s="18" t="str">
        <f>'Parte 3'!B1</f>
        <v>Ratios</v>
      </c>
      <c r="E14" s="19">
        <v>4</v>
      </c>
      <c r="F14" s="20">
        <f>'Parte 3'!A1</f>
        <v>0</v>
      </c>
      <c r="G14" s="4"/>
    </row>
    <row r="15" spans="1:7" ht="18" customHeight="1" x14ac:dyDescent="0.3">
      <c r="A15" s="1"/>
      <c r="B15" s="1"/>
      <c r="C15" s="13" t="s">
        <v>15</v>
      </c>
      <c r="D15" s="14" t="str">
        <f>'Parte 4'!B1</f>
        <v>Tendencias</v>
      </c>
      <c r="E15" s="15">
        <v>2</v>
      </c>
      <c r="F15" s="16">
        <f>'Parte 4'!A1</f>
        <v>0</v>
      </c>
      <c r="G15" s="4"/>
    </row>
    <row r="16" spans="1:7" ht="18" customHeight="1" x14ac:dyDescent="0.3">
      <c r="A16" s="1"/>
      <c r="B16" s="1"/>
      <c r="C16" s="17" t="s">
        <v>16</v>
      </c>
      <c r="D16" s="18" t="str">
        <f>'Parte 5'!B1</f>
        <v>Tasas de interés</v>
      </c>
      <c r="E16" s="19">
        <v>5</v>
      </c>
      <c r="F16" s="20">
        <f>'Parte 5'!A1</f>
        <v>0</v>
      </c>
      <c r="G16" s="4"/>
    </row>
    <row r="17" spans="3:7" x14ac:dyDescent="0.3">
      <c r="C17" s="1"/>
      <c r="D17" s="1"/>
      <c r="E17" s="21"/>
      <c r="F17" s="22"/>
    </row>
    <row r="18" spans="3:7" x14ac:dyDescent="0.3">
      <c r="C18" s="1"/>
      <c r="D18" s="1"/>
      <c r="E18" s="23" t="str">
        <f>IF(SUM(E12:E16)=20,"Nota",IF(SUM(E12:E16)&gt;20,"Excede en "&amp;SUM(E12:E16)-20,"Falta "&amp;20-SUM(E12:E16)))</f>
        <v>Nota</v>
      </c>
      <c r="F18" s="24">
        <f>ROUND(SUM(F12:F16),0)</f>
        <v>0</v>
      </c>
      <c r="G18" t="s">
        <v>12</v>
      </c>
    </row>
  </sheetData>
  <phoneticPr fontId="6" type="noConversion"/>
  <conditionalFormatting sqref="F18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44A9-9B26-4F0E-A3F1-FB7601B4FE4B}">
  <sheetPr codeName="Hoja2"/>
  <dimension ref="A1:M63"/>
  <sheetViews>
    <sheetView zoomScale="120" zoomScaleNormal="120" workbookViewId="0">
      <selection activeCell="A4" sqref="A4"/>
    </sheetView>
  </sheetViews>
  <sheetFormatPr baseColWidth="10" defaultRowHeight="14" x14ac:dyDescent="0.3"/>
  <cols>
    <col min="1" max="1" width="4.69921875" style="45" customWidth="1"/>
    <col min="2" max="2" width="4.796875" customWidth="1"/>
    <col min="3" max="3" width="11.796875" style="40" customWidth="1"/>
    <col min="6" max="7" width="11.59765625" customWidth="1"/>
  </cols>
  <sheetData>
    <row r="1" spans="1:13" s="27" customFormat="1" ht="24.2" thickBot="1" x14ac:dyDescent="0.35">
      <c r="A1" s="33">
        <f>IF(Indicaciones!G18="","",SUM(A4:A13))</f>
        <v>0</v>
      </c>
      <c r="B1" s="26" t="s">
        <v>17</v>
      </c>
      <c r="C1" s="38"/>
      <c r="L1" s="28"/>
      <c r="M1" s="28"/>
    </row>
    <row r="2" spans="1:13" s="30" customFormat="1" ht="14.55" thickTop="1" x14ac:dyDescent="0.3">
      <c r="A2" s="42"/>
      <c r="C2" s="39"/>
      <c r="L2" s="29"/>
      <c r="M2" s="29"/>
    </row>
    <row r="3" spans="1:13" x14ac:dyDescent="0.3">
      <c r="A3" s="43"/>
    </row>
    <row r="4" spans="1:13" x14ac:dyDescent="0.3">
      <c r="A4" s="46"/>
      <c r="B4" s="41" t="s">
        <v>20</v>
      </c>
    </row>
    <row r="5" spans="1:13" x14ac:dyDescent="0.3">
      <c r="A5"/>
      <c r="C5"/>
    </row>
    <row r="6" spans="1:13" x14ac:dyDescent="0.3">
      <c r="A6"/>
      <c r="C6"/>
    </row>
    <row r="7" spans="1:13" x14ac:dyDescent="0.3">
      <c r="A7"/>
      <c r="C7"/>
    </row>
    <row r="8" spans="1:13" x14ac:dyDescent="0.3">
      <c r="A8"/>
      <c r="C8"/>
    </row>
    <row r="9" spans="1:13" x14ac:dyDescent="0.3">
      <c r="A9"/>
      <c r="C9"/>
    </row>
    <row r="10" spans="1:13" x14ac:dyDescent="0.3">
      <c r="A10"/>
      <c r="C10"/>
    </row>
    <row r="11" spans="1:13" x14ac:dyDescent="0.3">
      <c r="A11"/>
      <c r="C11"/>
    </row>
    <row r="12" spans="1:13" x14ac:dyDescent="0.3">
      <c r="A12"/>
      <c r="C12"/>
    </row>
    <row r="13" spans="1:13" x14ac:dyDescent="0.3">
      <c r="A13"/>
      <c r="C13"/>
    </row>
    <row r="14" spans="1:13" x14ac:dyDescent="0.3">
      <c r="A14"/>
      <c r="C14"/>
    </row>
    <row r="15" spans="1:13" x14ac:dyDescent="0.3">
      <c r="A15"/>
      <c r="C15"/>
    </row>
    <row r="16" spans="1:13" x14ac:dyDescent="0.3">
      <c r="A16"/>
      <c r="C16"/>
    </row>
    <row r="17" spans="1:3" x14ac:dyDescent="0.3">
      <c r="A17"/>
      <c r="C17"/>
    </row>
    <row r="18" spans="1:3" x14ac:dyDescent="0.3">
      <c r="A18"/>
      <c r="C18"/>
    </row>
    <row r="19" spans="1:3" x14ac:dyDescent="0.3">
      <c r="A19"/>
      <c r="C19"/>
    </row>
    <row r="20" spans="1:3" x14ac:dyDescent="0.3">
      <c r="A20"/>
      <c r="C20"/>
    </row>
    <row r="21" spans="1:3" x14ac:dyDescent="0.3">
      <c r="A21"/>
      <c r="C21"/>
    </row>
    <row r="22" spans="1:3" x14ac:dyDescent="0.3">
      <c r="A22"/>
      <c r="C22"/>
    </row>
    <row r="23" spans="1:3" x14ac:dyDescent="0.3">
      <c r="A23"/>
      <c r="C23"/>
    </row>
    <row r="24" spans="1:3" x14ac:dyDescent="0.3">
      <c r="A24"/>
      <c r="C24"/>
    </row>
    <row r="25" spans="1:3" x14ac:dyDescent="0.3">
      <c r="A25"/>
      <c r="C25"/>
    </row>
    <row r="26" spans="1:3" x14ac:dyDescent="0.3">
      <c r="A26"/>
      <c r="C26"/>
    </row>
    <row r="27" spans="1:3" x14ac:dyDescent="0.3">
      <c r="A27"/>
      <c r="C27"/>
    </row>
    <row r="28" spans="1:3" x14ac:dyDescent="0.3">
      <c r="A28"/>
      <c r="C28"/>
    </row>
    <row r="29" spans="1:3" x14ac:dyDescent="0.3">
      <c r="A29"/>
      <c r="C29"/>
    </row>
    <row r="30" spans="1:3" x14ac:dyDescent="0.3">
      <c r="A30"/>
      <c r="C30"/>
    </row>
    <row r="31" spans="1:3" x14ac:dyDescent="0.3">
      <c r="A31"/>
      <c r="C31"/>
    </row>
    <row r="32" spans="1:3" x14ac:dyDescent="0.3">
      <c r="A32"/>
      <c r="C32"/>
    </row>
    <row r="33" spans="1:3" x14ac:dyDescent="0.3">
      <c r="A33"/>
      <c r="C33"/>
    </row>
    <row r="34" spans="1:3" x14ac:dyDescent="0.3">
      <c r="A34"/>
      <c r="C34"/>
    </row>
    <row r="35" spans="1:3" x14ac:dyDescent="0.3">
      <c r="A35"/>
      <c r="C35"/>
    </row>
    <row r="36" spans="1:3" x14ac:dyDescent="0.3">
      <c r="A36"/>
      <c r="C36"/>
    </row>
    <row r="37" spans="1:3" x14ac:dyDescent="0.3">
      <c r="A37"/>
      <c r="C37"/>
    </row>
    <row r="38" spans="1:3" x14ac:dyDescent="0.3">
      <c r="A38"/>
      <c r="C38"/>
    </row>
    <row r="39" spans="1:3" x14ac:dyDescent="0.3">
      <c r="A39"/>
      <c r="C39"/>
    </row>
    <row r="40" spans="1:3" x14ac:dyDescent="0.3">
      <c r="A40"/>
      <c r="C40"/>
    </row>
    <row r="41" spans="1:3" x14ac:dyDescent="0.3">
      <c r="A41"/>
      <c r="C41"/>
    </row>
    <row r="42" spans="1:3" x14ac:dyDescent="0.3">
      <c r="A42"/>
      <c r="C42"/>
    </row>
    <row r="43" spans="1:3" x14ac:dyDescent="0.3">
      <c r="A43"/>
      <c r="C43"/>
    </row>
    <row r="44" spans="1:3" x14ac:dyDescent="0.3">
      <c r="A44"/>
      <c r="C44"/>
    </row>
    <row r="45" spans="1:3" x14ac:dyDescent="0.3">
      <c r="A45"/>
      <c r="C45"/>
    </row>
    <row r="46" spans="1:3" x14ac:dyDescent="0.3">
      <c r="A46"/>
      <c r="C46"/>
    </row>
    <row r="47" spans="1:3" x14ac:dyDescent="0.3">
      <c r="A47"/>
      <c r="C47"/>
    </row>
    <row r="48" spans="1:3" x14ac:dyDescent="0.3">
      <c r="A48"/>
      <c r="C48"/>
    </row>
    <row r="49" spans="1:3" x14ac:dyDescent="0.3">
      <c r="A49"/>
      <c r="C49"/>
    </row>
    <row r="50" spans="1:3" x14ac:dyDescent="0.3">
      <c r="A50"/>
      <c r="C50"/>
    </row>
    <row r="51" spans="1:3" x14ac:dyDescent="0.3">
      <c r="A51"/>
      <c r="C51"/>
    </row>
    <row r="52" spans="1:3" x14ac:dyDescent="0.3">
      <c r="A52"/>
      <c r="C52"/>
    </row>
    <row r="53" spans="1:3" x14ac:dyDescent="0.3">
      <c r="A53"/>
      <c r="C53"/>
    </row>
    <row r="54" spans="1:3" x14ac:dyDescent="0.3">
      <c r="A54"/>
      <c r="C54"/>
    </row>
    <row r="59" spans="1:3" x14ac:dyDescent="0.3">
      <c r="A59" s="44"/>
      <c r="B59" s="36"/>
    </row>
    <row r="60" spans="1:3" x14ac:dyDescent="0.3">
      <c r="A60" s="44"/>
      <c r="B60" s="36"/>
    </row>
    <row r="61" spans="1:3" x14ac:dyDescent="0.3">
      <c r="A61" s="44"/>
      <c r="B61" s="36"/>
    </row>
    <row r="62" spans="1:3" x14ac:dyDescent="0.3">
      <c r="A62" s="44"/>
      <c r="B62" s="36"/>
    </row>
    <row r="63" spans="1:3" x14ac:dyDescent="0.3">
      <c r="A63" s="44"/>
      <c r="B63" s="36"/>
    </row>
  </sheetData>
  <sortState xmlns:xlrd2="http://schemas.microsoft.com/office/spreadsheetml/2017/richdata2" ref="D34:D36">
    <sortCondition ref="D33:D36"/>
  </sortState>
  <phoneticPr fontId="6" type="noConversion"/>
  <pageMargins left="0.39370078740157483" right="0.39370078740157483" top="0.39370078740157483" bottom="0.39370078740157483" header="0.31496062992125984" footer="0.31496062992125984"/>
  <pageSetup paperSize="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0836-1CA9-4CB2-B92A-8F1EC0418F91}">
  <sheetPr codeName="Hoja3"/>
  <dimension ref="A1:P60"/>
  <sheetViews>
    <sheetView zoomScale="120" zoomScaleNormal="120" workbookViewId="0">
      <selection activeCell="H9" sqref="H9"/>
    </sheetView>
  </sheetViews>
  <sheetFormatPr baseColWidth="10" defaultColWidth="11.3984375" defaultRowHeight="14" x14ac:dyDescent="0.3"/>
  <cols>
    <col min="1" max="1" width="4.69921875" style="31" customWidth="1"/>
    <col min="2" max="2" width="4.296875" style="32" customWidth="1"/>
    <col min="3" max="3" width="11.3984375" style="32" customWidth="1"/>
    <col min="4" max="4" width="14.69921875" style="32" customWidth="1"/>
    <col min="5" max="6" width="11.3984375" style="32"/>
    <col min="7" max="7" width="3.3984375" style="32" customWidth="1"/>
    <col min="8" max="16384" width="11.3984375" style="32"/>
  </cols>
  <sheetData>
    <row r="1" spans="1:16" s="27" customFormat="1" ht="24.2" thickBot="1" x14ac:dyDescent="0.35">
      <c r="A1" s="33">
        <f>SUM(A17:A27)</f>
        <v>0</v>
      </c>
      <c r="B1" s="26" t="s">
        <v>21</v>
      </c>
    </row>
    <row r="2" spans="1:16" s="30" customFormat="1" ht="14.55" thickTop="1" x14ac:dyDescent="0.3">
      <c r="A2" s="34"/>
      <c r="H2" s="32"/>
    </row>
    <row r="3" spans="1:16" s="30" customFormat="1" x14ac:dyDescent="0.3">
      <c r="A3" s="34"/>
      <c r="B3" s="59" t="s">
        <v>47</v>
      </c>
      <c r="H3" s="32"/>
    </row>
    <row r="4" spans="1:16" x14ac:dyDescent="0.3">
      <c r="B4" s="32" t="s">
        <v>41</v>
      </c>
      <c r="F4" s="52">
        <v>120000</v>
      </c>
    </row>
    <row r="5" spans="1:16" x14ac:dyDescent="0.3">
      <c r="B5" s="32" t="s">
        <v>39</v>
      </c>
      <c r="F5" s="52">
        <v>25000</v>
      </c>
    </row>
    <row r="6" spans="1:16" x14ac:dyDescent="0.3">
      <c r="B6" s="32" t="s">
        <v>42</v>
      </c>
      <c r="F6" s="52">
        <v>5000</v>
      </c>
    </row>
    <row r="7" spans="1:16" x14ac:dyDescent="0.3">
      <c r="B7" s="32" t="s">
        <v>43</v>
      </c>
      <c r="F7" s="52">
        <v>15000</v>
      </c>
    </row>
    <row r="8" spans="1:16" x14ac:dyDescent="0.3">
      <c r="B8" s="32" t="s">
        <v>34</v>
      </c>
      <c r="F8" s="52">
        <v>8000</v>
      </c>
    </row>
    <row r="9" spans="1:16" x14ac:dyDescent="0.3">
      <c r="B9" s="32" t="s">
        <v>44</v>
      </c>
      <c r="F9" s="52">
        <v>12000</v>
      </c>
      <c r="G9"/>
    </row>
    <row r="10" spans="1:16" x14ac:dyDescent="0.3">
      <c r="A10"/>
      <c r="B10" s="32" t="s">
        <v>45</v>
      </c>
      <c r="D10"/>
      <c r="E10"/>
      <c r="F10" s="53">
        <v>4000</v>
      </c>
      <c r="G10"/>
    </row>
    <row r="11" spans="1:16" x14ac:dyDescent="0.3">
      <c r="A11"/>
      <c r="B11" s="32" t="s">
        <v>35</v>
      </c>
      <c r="D11"/>
      <c r="E11"/>
      <c r="F11" s="53">
        <v>180000</v>
      </c>
      <c r="G11"/>
    </row>
    <row r="12" spans="1:16" x14ac:dyDescent="0.3">
      <c r="A12"/>
      <c r="B12" s="32" t="s">
        <v>36</v>
      </c>
      <c r="D12"/>
      <c r="E12"/>
      <c r="F12" s="53">
        <v>25000</v>
      </c>
      <c r="G12"/>
      <c r="O12"/>
      <c r="P12"/>
    </row>
    <row r="13" spans="1:16" x14ac:dyDescent="0.3">
      <c r="A13"/>
      <c r="B13" t="s">
        <v>37</v>
      </c>
      <c r="D13"/>
      <c r="E13"/>
      <c r="F13" s="53">
        <v>150000</v>
      </c>
      <c r="G13"/>
    </row>
    <row r="14" spans="1:16" customFormat="1" x14ac:dyDescent="0.3">
      <c r="B14" s="32" t="s">
        <v>38</v>
      </c>
      <c r="C14" s="32"/>
      <c r="F14" s="53">
        <v>40000</v>
      </c>
      <c r="H14" s="32"/>
      <c r="I14" s="32"/>
      <c r="J14" s="32"/>
      <c r="K14" s="32"/>
      <c r="L14" s="32"/>
      <c r="M14" s="32"/>
      <c r="N14" s="32"/>
      <c r="O14" s="32"/>
      <c r="P14" s="32"/>
    </row>
    <row r="15" spans="1:16" x14ac:dyDescent="0.3">
      <c r="A15"/>
      <c r="B15" s="32" t="s">
        <v>46</v>
      </c>
      <c r="D15"/>
      <c r="E15"/>
      <c r="F15" s="53">
        <v>30000</v>
      </c>
      <c r="G15"/>
    </row>
    <row r="16" spans="1:16" x14ac:dyDescent="0.3">
      <c r="A16"/>
      <c r="B16"/>
      <c r="C16"/>
      <c r="D16"/>
      <c r="E16"/>
      <c r="F16"/>
      <c r="G16"/>
    </row>
    <row r="17" spans="1:7" x14ac:dyDescent="0.3">
      <c r="A17" s="46"/>
      <c r="B17" s="36" t="s">
        <v>8</v>
      </c>
      <c r="C17" s="47">
        <v>0.5</v>
      </c>
      <c r="D17" s="32" t="s">
        <v>31</v>
      </c>
      <c r="G17"/>
    </row>
    <row r="18" spans="1:7" x14ac:dyDescent="0.3">
      <c r="A18" s="46"/>
      <c r="C18" s="47">
        <v>0.5</v>
      </c>
      <c r="D18" s="32" t="s">
        <v>18</v>
      </c>
      <c r="G18"/>
    </row>
    <row r="19" spans="1:7" x14ac:dyDescent="0.3">
      <c r="A19" s="46"/>
      <c r="C19" s="47"/>
      <c r="G19"/>
    </row>
    <row r="20" spans="1:7" x14ac:dyDescent="0.3">
      <c r="A20" s="46"/>
      <c r="B20" s="36" t="s">
        <v>9</v>
      </c>
      <c r="C20" s="47">
        <v>0.5</v>
      </c>
      <c r="D20" s="32" t="s">
        <v>32</v>
      </c>
      <c r="G20"/>
    </row>
    <row r="21" spans="1:7" x14ac:dyDescent="0.3">
      <c r="A21" s="46"/>
      <c r="C21" s="47">
        <v>0.5</v>
      </c>
      <c r="D21" s="32" t="s">
        <v>18</v>
      </c>
      <c r="G21"/>
    </row>
    <row r="22" spans="1:7" x14ac:dyDescent="0.3">
      <c r="A22" s="46"/>
      <c r="C22" s="47"/>
      <c r="G22"/>
    </row>
    <row r="23" spans="1:7" x14ac:dyDescent="0.3">
      <c r="A23" s="46"/>
      <c r="B23" s="36" t="s">
        <v>10</v>
      </c>
      <c r="C23" s="47">
        <v>0.5</v>
      </c>
      <c r="D23" s="32" t="s">
        <v>33</v>
      </c>
      <c r="G23"/>
    </row>
    <row r="24" spans="1:7" x14ac:dyDescent="0.3">
      <c r="A24" s="46"/>
      <c r="C24" s="47">
        <v>0.5</v>
      </c>
      <c r="D24" s="32" t="s">
        <v>18</v>
      </c>
      <c r="F24"/>
      <c r="G24"/>
    </row>
    <row r="25" spans="1:7" x14ac:dyDescent="0.3">
      <c r="A25" s="46"/>
      <c r="C25" s="47"/>
      <c r="E25"/>
      <c r="F25"/>
      <c r="G25"/>
    </row>
    <row r="26" spans="1:7" x14ac:dyDescent="0.3">
      <c r="A26" s="46"/>
      <c r="B26" s="36" t="s">
        <v>11</v>
      </c>
      <c r="C26" s="47">
        <v>0.5</v>
      </c>
      <c r="D26" s="32" t="s">
        <v>104</v>
      </c>
      <c r="E26"/>
      <c r="F26"/>
      <c r="G26"/>
    </row>
    <row r="27" spans="1:7" x14ac:dyDescent="0.3">
      <c r="A27" s="46"/>
      <c r="B27"/>
      <c r="C27" s="47">
        <v>0.5</v>
      </c>
      <c r="D27" s="32" t="s">
        <v>18</v>
      </c>
      <c r="E27"/>
      <c r="F27"/>
      <c r="G27"/>
    </row>
    <row r="28" spans="1:7" x14ac:dyDescent="0.3">
      <c r="A28"/>
      <c r="B28"/>
      <c r="C28"/>
      <c r="D28"/>
      <c r="E28"/>
      <c r="F28"/>
      <c r="G28"/>
    </row>
    <row r="29" spans="1:7" x14ac:dyDescent="0.3">
      <c r="A29"/>
      <c r="B29"/>
      <c r="C29"/>
      <c r="D29"/>
      <c r="E29"/>
      <c r="F29"/>
      <c r="G29"/>
    </row>
    <row r="30" spans="1:7" x14ac:dyDescent="0.3">
      <c r="A30"/>
      <c r="B30"/>
      <c r="C30"/>
      <c r="D30"/>
      <c r="E30"/>
      <c r="F30"/>
      <c r="G30"/>
    </row>
    <row r="31" spans="1:7" x14ac:dyDescent="0.3">
      <c r="A31"/>
      <c r="B31"/>
      <c r="C31"/>
      <c r="D31"/>
      <c r="E31"/>
      <c r="F31"/>
      <c r="G31"/>
    </row>
    <row r="32" spans="1:7" x14ac:dyDescent="0.3">
      <c r="A32"/>
      <c r="B32"/>
      <c r="C32"/>
      <c r="D32"/>
      <c r="E32"/>
      <c r="F32"/>
      <c r="G32"/>
    </row>
    <row r="33" spans="1:7" x14ac:dyDescent="0.3">
      <c r="A33"/>
      <c r="B33"/>
      <c r="C33"/>
      <c r="D33"/>
      <c r="E33"/>
      <c r="F33"/>
      <c r="G33"/>
    </row>
    <row r="34" spans="1:7" x14ac:dyDescent="0.3">
      <c r="A34"/>
      <c r="B34"/>
      <c r="C34"/>
      <c r="D34"/>
      <c r="E34"/>
      <c r="F34"/>
      <c r="G34"/>
    </row>
    <row r="35" spans="1:7" x14ac:dyDescent="0.3">
      <c r="A35"/>
      <c r="B35"/>
      <c r="C35"/>
      <c r="D35"/>
      <c r="E35"/>
      <c r="F35"/>
      <c r="G35"/>
    </row>
    <row r="36" spans="1:7" x14ac:dyDescent="0.3">
      <c r="A36"/>
      <c r="B36"/>
      <c r="C36"/>
      <c r="D36"/>
      <c r="E36"/>
      <c r="F36"/>
      <c r="G36"/>
    </row>
    <row r="37" spans="1:7" x14ac:dyDescent="0.3">
      <c r="A37"/>
      <c r="B37"/>
      <c r="C37"/>
      <c r="D37"/>
      <c r="E37"/>
      <c r="F37"/>
      <c r="G37"/>
    </row>
    <row r="38" spans="1:7" x14ac:dyDescent="0.3">
      <c r="A38"/>
      <c r="B38"/>
      <c r="C38"/>
      <c r="D38"/>
      <c r="E38"/>
      <c r="F38"/>
      <c r="G38"/>
    </row>
    <row r="39" spans="1:7" x14ac:dyDescent="0.3">
      <c r="A39"/>
      <c r="B39"/>
      <c r="C39"/>
      <c r="D39"/>
      <c r="E39"/>
      <c r="F39"/>
      <c r="G39"/>
    </row>
    <row r="40" spans="1:7" x14ac:dyDescent="0.3">
      <c r="A40"/>
      <c r="B40"/>
      <c r="C40"/>
      <c r="D40"/>
      <c r="E40"/>
      <c r="F40"/>
      <c r="G40"/>
    </row>
    <row r="41" spans="1:7" x14ac:dyDescent="0.3">
      <c r="A41"/>
      <c r="B41"/>
      <c r="C41"/>
      <c r="D41"/>
      <c r="E41"/>
      <c r="F41"/>
      <c r="G41"/>
    </row>
    <row r="42" spans="1:7" x14ac:dyDescent="0.3">
      <c r="A42"/>
      <c r="B42"/>
      <c r="C42"/>
      <c r="D42"/>
      <c r="E42"/>
      <c r="F42"/>
      <c r="G42"/>
    </row>
    <row r="43" spans="1:7" x14ac:dyDescent="0.3">
      <c r="A43"/>
      <c r="B43"/>
      <c r="C43"/>
      <c r="D43"/>
      <c r="E43"/>
      <c r="F43"/>
      <c r="G43"/>
    </row>
    <row r="44" spans="1:7" x14ac:dyDescent="0.3">
      <c r="A44"/>
      <c r="B44"/>
      <c r="C44"/>
      <c r="D44"/>
      <c r="E44"/>
      <c r="F44"/>
      <c r="G44"/>
    </row>
    <row r="45" spans="1:7" x14ac:dyDescent="0.3">
      <c r="A45"/>
      <c r="B45"/>
      <c r="C45"/>
      <c r="D45"/>
      <c r="E45"/>
      <c r="F45"/>
      <c r="G45"/>
    </row>
    <row r="46" spans="1:7" x14ac:dyDescent="0.3">
      <c r="A46"/>
      <c r="B46"/>
      <c r="C46"/>
      <c r="D46"/>
      <c r="E46"/>
      <c r="F46"/>
      <c r="G46"/>
    </row>
    <row r="47" spans="1:7" x14ac:dyDescent="0.3">
      <c r="A47"/>
      <c r="B47"/>
      <c r="C47"/>
      <c r="D47"/>
      <c r="E47"/>
      <c r="F47"/>
      <c r="G47"/>
    </row>
    <row r="48" spans="1:7" x14ac:dyDescent="0.3">
      <c r="A48"/>
      <c r="B48"/>
      <c r="C48"/>
      <c r="D48"/>
      <c r="E48"/>
      <c r="F48"/>
      <c r="G48"/>
    </row>
    <row r="49" spans="1:7" x14ac:dyDescent="0.3">
      <c r="A49"/>
      <c r="B49"/>
      <c r="C49"/>
      <c r="D49"/>
      <c r="E49"/>
      <c r="F49"/>
      <c r="G49"/>
    </row>
    <row r="50" spans="1:7" x14ac:dyDescent="0.3">
      <c r="A50"/>
      <c r="B50"/>
      <c r="C50"/>
      <c r="D50"/>
      <c r="E50"/>
      <c r="F50"/>
      <c r="G50"/>
    </row>
    <row r="51" spans="1:7" x14ac:dyDescent="0.3">
      <c r="A51"/>
      <c r="B51"/>
      <c r="C51"/>
      <c r="D51"/>
      <c r="E51"/>
      <c r="F51"/>
      <c r="G51"/>
    </row>
    <row r="52" spans="1:7" x14ac:dyDescent="0.3">
      <c r="A52"/>
      <c r="B52"/>
      <c r="C52"/>
      <c r="D52"/>
      <c r="E52"/>
      <c r="F52"/>
      <c r="G52"/>
    </row>
    <row r="53" spans="1:7" x14ac:dyDescent="0.3">
      <c r="A53"/>
      <c r="B53"/>
      <c r="C53"/>
      <c r="D53"/>
      <c r="E53"/>
      <c r="F53"/>
      <c r="G53"/>
    </row>
    <row r="54" spans="1:7" x14ac:dyDescent="0.3">
      <c r="A54"/>
      <c r="B54"/>
      <c r="C54"/>
      <c r="D54"/>
      <c r="E54"/>
      <c r="F54"/>
      <c r="G54"/>
    </row>
    <row r="55" spans="1:7" x14ac:dyDescent="0.3">
      <c r="A55"/>
      <c r="B55"/>
      <c r="C55"/>
      <c r="D55"/>
      <c r="E55"/>
      <c r="F55"/>
      <c r="G55"/>
    </row>
    <row r="56" spans="1:7" x14ac:dyDescent="0.3">
      <c r="A56"/>
      <c r="B56"/>
      <c r="C56"/>
      <c r="D56"/>
      <c r="E56"/>
      <c r="F56"/>
      <c r="G56"/>
    </row>
    <row r="57" spans="1:7" x14ac:dyDescent="0.3">
      <c r="A57"/>
      <c r="B57"/>
      <c r="C57"/>
      <c r="D57"/>
      <c r="E57"/>
      <c r="F57"/>
      <c r="G57"/>
    </row>
    <row r="58" spans="1:7" x14ac:dyDescent="0.3">
      <c r="A58"/>
      <c r="B58"/>
      <c r="C58"/>
      <c r="D58"/>
      <c r="E58"/>
      <c r="F58"/>
      <c r="G58"/>
    </row>
    <row r="59" spans="1:7" x14ac:dyDescent="0.3">
      <c r="A59"/>
      <c r="B59"/>
      <c r="C59"/>
      <c r="D59"/>
      <c r="E59"/>
      <c r="F59"/>
      <c r="G59"/>
    </row>
    <row r="60" spans="1:7" x14ac:dyDescent="0.3">
      <c r="A60"/>
      <c r="B60"/>
      <c r="C60"/>
      <c r="D60"/>
      <c r="E60"/>
      <c r="F60"/>
      <c r="G60"/>
    </row>
  </sheetData>
  <phoneticPr fontId="6" type="noConversion"/>
  <pageMargins left="0.39370078740157483" right="0.39370078740157483" top="0.39370078740157483" bottom="0.39370078740157483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FD02-3852-46F5-8EC5-8770E875686F}">
  <sheetPr codeName="Hoja4"/>
  <dimension ref="A1:L481"/>
  <sheetViews>
    <sheetView zoomScale="120" zoomScaleNormal="120" workbookViewId="0">
      <selection activeCell="B7" sqref="B7"/>
    </sheetView>
  </sheetViews>
  <sheetFormatPr baseColWidth="10" defaultRowHeight="14" x14ac:dyDescent="0.3"/>
  <cols>
    <col min="1" max="1" width="4.69921875" style="31" customWidth="1"/>
    <col min="2" max="2" width="4.296875" customWidth="1"/>
    <col min="3" max="3" width="10" bestFit="1" customWidth="1"/>
    <col min="4" max="4" width="16.59765625" customWidth="1"/>
    <col min="5" max="7" width="10.59765625" customWidth="1"/>
    <col min="8" max="8" width="20.3984375" customWidth="1"/>
    <col min="9" max="9" width="30.3984375" bestFit="1" customWidth="1"/>
    <col min="10" max="11" width="8.5" bestFit="1" customWidth="1"/>
    <col min="12" max="12" width="8.59765625" bestFit="1" customWidth="1"/>
  </cols>
  <sheetData>
    <row r="1" spans="1:12" s="27" customFormat="1" ht="24.2" thickBot="1" x14ac:dyDescent="0.35">
      <c r="A1" s="33">
        <f>IF(Indicaciones!G18="","",SUM(A23:A30))</f>
        <v>0</v>
      </c>
      <c r="B1" s="26" t="s">
        <v>22</v>
      </c>
    </row>
    <row r="2" spans="1:12" s="30" customFormat="1" ht="14.55" thickTop="1" x14ac:dyDescent="0.3">
      <c r="A2" s="34"/>
      <c r="G2" s="32"/>
    </row>
    <row r="3" spans="1:12" x14ac:dyDescent="0.3">
      <c r="A3"/>
      <c r="C3" t="s">
        <v>90</v>
      </c>
      <c r="I3" t="s">
        <v>90</v>
      </c>
    </row>
    <row r="4" spans="1:12" x14ac:dyDescent="0.3">
      <c r="A4"/>
      <c r="C4" t="s">
        <v>51</v>
      </c>
      <c r="I4" s="74" t="s">
        <v>63</v>
      </c>
    </row>
    <row r="5" spans="1:12" x14ac:dyDescent="0.3">
      <c r="A5"/>
      <c r="C5" t="s">
        <v>54</v>
      </c>
      <c r="I5" s="74" t="s">
        <v>86</v>
      </c>
    </row>
    <row r="6" spans="1:12" x14ac:dyDescent="0.3">
      <c r="A6"/>
      <c r="C6" t="s">
        <v>40</v>
      </c>
      <c r="I6" s="63" t="s">
        <v>40</v>
      </c>
    </row>
    <row r="7" spans="1:12" x14ac:dyDescent="0.3">
      <c r="A7"/>
      <c r="E7" s="48">
        <v>2022</v>
      </c>
      <c r="F7" s="48">
        <v>2023</v>
      </c>
      <c r="G7" s="48">
        <v>2024</v>
      </c>
      <c r="I7" s="70" t="s">
        <v>64</v>
      </c>
      <c r="J7" s="66">
        <v>2022</v>
      </c>
      <c r="K7" s="66">
        <v>2023</v>
      </c>
      <c r="L7" s="66">
        <v>2024</v>
      </c>
    </row>
    <row r="8" spans="1:12" x14ac:dyDescent="0.3">
      <c r="A8"/>
      <c r="C8" t="s">
        <v>52</v>
      </c>
      <c r="E8" s="61">
        <v>400000</v>
      </c>
      <c r="F8" s="61">
        <v>450000</v>
      </c>
      <c r="G8" s="61">
        <v>520000</v>
      </c>
      <c r="I8" s="68" t="s">
        <v>65</v>
      </c>
      <c r="J8" s="69"/>
      <c r="K8" s="69"/>
      <c r="L8" s="69"/>
    </row>
    <row r="9" spans="1:12" x14ac:dyDescent="0.3">
      <c r="A9"/>
      <c r="C9" t="s">
        <v>53</v>
      </c>
      <c r="E9" s="61">
        <v>-240000</v>
      </c>
      <c r="F9" s="61">
        <v>-270000</v>
      </c>
      <c r="G9" s="61">
        <v>-320000</v>
      </c>
      <c r="I9" s="63" t="s">
        <v>88</v>
      </c>
      <c r="J9" s="64">
        <v>20000</v>
      </c>
      <c r="K9" s="64">
        <v>25000</v>
      </c>
      <c r="L9" s="64">
        <v>30000</v>
      </c>
    </row>
    <row r="10" spans="1:12" x14ac:dyDescent="0.3">
      <c r="A10"/>
      <c r="C10" s="48" t="s">
        <v>55</v>
      </c>
      <c r="E10" s="60">
        <f>SUM(E8:E9)</f>
        <v>160000</v>
      </c>
      <c r="F10" s="60">
        <f>SUM(F8:F9)</f>
        <v>180000</v>
      </c>
      <c r="G10" s="60">
        <f>SUM(G8:G9)</f>
        <v>200000</v>
      </c>
      <c r="I10" s="63" t="s">
        <v>87</v>
      </c>
      <c r="J10" s="64">
        <v>35000</v>
      </c>
      <c r="K10" s="64">
        <v>45000</v>
      </c>
      <c r="L10" s="64">
        <v>60000</v>
      </c>
    </row>
    <row r="11" spans="1:12" x14ac:dyDescent="0.3">
      <c r="A11"/>
      <c r="C11" t="s">
        <v>61</v>
      </c>
      <c r="E11" s="61">
        <v>-65000</v>
      </c>
      <c r="F11" s="61">
        <v>-75000</v>
      </c>
      <c r="G11" s="61">
        <v>-85000</v>
      </c>
      <c r="I11" s="63" t="s">
        <v>66</v>
      </c>
      <c r="J11" s="64">
        <v>70000</v>
      </c>
      <c r="K11" s="64">
        <v>80000</v>
      </c>
      <c r="L11" s="64">
        <v>95000</v>
      </c>
    </row>
    <row r="12" spans="1:12" x14ac:dyDescent="0.3">
      <c r="A12"/>
      <c r="C12" s="48" t="s">
        <v>58</v>
      </c>
      <c r="E12" s="60">
        <f t="shared" ref="E12:F12" si="0">SUM(E10:E11)</f>
        <v>95000</v>
      </c>
      <c r="F12" s="60">
        <f t="shared" si="0"/>
        <v>105000</v>
      </c>
      <c r="G12" s="60">
        <f>SUM(G10:G11)</f>
        <v>115000</v>
      </c>
      <c r="I12" s="67" t="s">
        <v>67</v>
      </c>
      <c r="J12" s="65">
        <f>SUM(J9:J11)</f>
        <v>125000</v>
      </c>
      <c r="K12" s="65">
        <f t="shared" ref="K12:L12" si="1">SUM(K9:K11)</f>
        <v>150000</v>
      </c>
      <c r="L12" s="65">
        <f t="shared" si="1"/>
        <v>185000</v>
      </c>
    </row>
    <row r="13" spans="1:12" x14ac:dyDescent="0.3">
      <c r="A13"/>
      <c r="C13" t="s">
        <v>59</v>
      </c>
      <c r="E13" s="61">
        <v>1000</v>
      </c>
      <c r="F13" s="61">
        <v>0</v>
      </c>
      <c r="G13" s="61">
        <v>0</v>
      </c>
      <c r="I13" s="68" t="s">
        <v>68</v>
      </c>
      <c r="J13" s="69"/>
      <c r="K13" s="69"/>
      <c r="L13" s="69"/>
    </row>
    <row r="14" spans="1:12" x14ac:dyDescent="0.3">
      <c r="A14"/>
      <c r="C14" t="s">
        <v>60</v>
      </c>
      <c r="E14" s="61">
        <v>-12000</v>
      </c>
      <c r="F14" s="61">
        <v>-15000</v>
      </c>
      <c r="G14" s="61">
        <v>-18000</v>
      </c>
      <c r="I14" s="63" t="s">
        <v>69</v>
      </c>
      <c r="J14" s="64">
        <v>180000</v>
      </c>
      <c r="K14" s="64">
        <v>200000</v>
      </c>
      <c r="L14" s="64">
        <v>230000</v>
      </c>
    </row>
    <row r="15" spans="1:12" x14ac:dyDescent="0.3">
      <c r="A15"/>
      <c r="C15" s="48" t="s">
        <v>56</v>
      </c>
      <c r="E15" s="60">
        <f>SUM(E12:E14)</f>
        <v>84000</v>
      </c>
      <c r="F15" s="60">
        <f>SUM(F12:F14)</f>
        <v>90000</v>
      </c>
      <c r="G15" s="60">
        <f>SUM(G12:G14)</f>
        <v>97000</v>
      </c>
      <c r="I15" s="63" t="s">
        <v>70</v>
      </c>
      <c r="J15" s="64">
        <v>-30000</v>
      </c>
      <c r="K15" s="64">
        <v>-40000</v>
      </c>
      <c r="L15" s="64">
        <v>-55000</v>
      </c>
    </row>
    <row r="16" spans="1:12" x14ac:dyDescent="0.3">
      <c r="A16"/>
      <c r="C16" t="s">
        <v>62</v>
      </c>
      <c r="E16" s="61">
        <f>-E15*29.5%</f>
        <v>-24780</v>
      </c>
      <c r="F16" s="61">
        <f>-F15*29.5%</f>
        <v>-26550</v>
      </c>
      <c r="G16" s="61">
        <f>-G15*29.5%</f>
        <v>-28615</v>
      </c>
      <c r="I16" s="67" t="s">
        <v>71</v>
      </c>
      <c r="J16" s="65">
        <f>SUM(J14:J15)</f>
        <v>150000</v>
      </c>
      <c r="K16" s="65">
        <f t="shared" ref="K16:L16" si="2">SUM(K14:K15)</f>
        <v>160000</v>
      </c>
      <c r="L16" s="65">
        <f t="shared" si="2"/>
        <v>175000</v>
      </c>
    </row>
    <row r="17" spans="1:12" x14ac:dyDescent="0.3">
      <c r="A17"/>
      <c r="C17" s="48" t="s">
        <v>57</v>
      </c>
      <c r="E17" s="60">
        <f>SUM(E15:E16)</f>
        <v>59220</v>
      </c>
      <c r="F17" s="60">
        <f>SUM(F15:F16)</f>
        <v>63450</v>
      </c>
      <c r="G17" s="60">
        <f>SUM(G15:G16)</f>
        <v>68385</v>
      </c>
      <c r="I17" s="73" t="s">
        <v>72</v>
      </c>
      <c r="J17" s="72">
        <f>SUM(J16,J12)</f>
        <v>275000</v>
      </c>
      <c r="K17" s="72">
        <f t="shared" ref="K17:L17" si="3">SUM(K16,K12)</f>
        <v>310000</v>
      </c>
      <c r="L17" s="72">
        <f t="shared" si="3"/>
        <v>360000</v>
      </c>
    </row>
    <row r="18" spans="1:12" x14ac:dyDescent="0.3">
      <c r="A18"/>
      <c r="C18" s="48"/>
      <c r="E18" s="60"/>
      <c r="F18" s="60"/>
      <c r="G18" s="60"/>
      <c r="I18" s="68" t="s">
        <v>73</v>
      </c>
      <c r="J18" s="69"/>
      <c r="K18" s="69"/>
      <c r="L18" s="69"/>
    </row>
    <row r="19" spans="1:12" x14ac:dyDescent="0.3">
      <c r="A19"/>
      <c r="I19" s="63" t="s">
        <v>74</v>
      </c>
      <c r="J19" s="64">
        <v>35000</v>
      </c>
      <c r="K19" s="64">
        <v>40000</v>
      </c>
      <c r="L19" s="64">
        <v>55000</v>
      </c>
    </row>
    <row r="20" spans="1:12" x14ac:dyDescent="0.3">
      <c r="A20"/>
      <c r="B20" t="s">
        <v>98</v>
      </c>
      <c r="I20" s="63" t="s">
        <v>75</v>
      </c>
      <c r="J20" s="64">
        <v>15000</v>
      </c>
      <c r="K20" s="64">
        <v>20000</v>
      </c>
      <c r="L20" s="64">
        <v>25000</v>
      </c>
    </row>
    <row r="21" spans="1:12" x14ac:dyDescent="0.3">
      <c r="A21"/>
      <c r="I21" s="67" t="s">
        <v>76</v>
      </c>
      <c r="J21" s="65">
        <f t="shared" ref="J21:L21" si="4">SUM(J19:J20)</f>
        <v>50000</v>
      </c>
      <c r="K21" s="65">
        <f t="shared" si="4"/>
        <v>60000</v>
      </c>
      <c r="L21" s="65">
        <f t="shared" si="4"/>
        <v>80000</v>
      </c>
    </row>
    <row r="22" spans="1:12" x14ac:dyDescent="0.3">
      <c r="A22"/>
      <c r="B22" s="36" t="s">
        <v>8</v>
      </c>
      <c r="C22" t="s">
        <v>91</v>
      </c>
      <c r="I22" s="68" t="s">
        <v>77</v>
      </c>
      <c r="J22" s="69"/>
      <c r="K22" s="69"/>
      <c r="L22" s="69"/>
    </row>
    <row r="23" spans="1:12" x14ac:dyDescent="0.3">
      <c r="A23"/>
      <c r="C23" s="47">
        <v>0.25</v>
      </c>
      <c r="D23" t="s">
        <v>95</v>
      </c>
      <c r="E23" s="76"/>
      <c r="F23" s="76"/>
      <c r="G23" s="76"/>
      <c r="H23" s="76"/>
      <c r="I23" s="63" t="s">
        <v>78</v>
      </c>
      <c r="J23" s="64">
        <v>90000</v>
      </c>
      <c r="K23" s="64">
        <v>100000</v>
      </c>
      <c r="L23" s="64">
        <v>110000</v>
      </c>
    </row>
    <row r="24" spans="1:12" x14ac:dyDescent="0.3">
      <c r="A24"/>
      <c r="C24" s="47">
        <v>0.25</v>
      </c>
      <c r="D24" t="s">
        <v>99</v>
      </c>
      <c r="E24" s="76"/>
      <c r="I24" s="66" t="s">
        <v>79</v>
      </c>
      <c r="J24" s="65">
        <f>J23</f>
        <v>90000</v>
      </c>
      <c r="K24" s="65">
        <f t="shared" ref="K24:L24" si="5">K23</f>
        <v>100000</v>
      </c>
      <c r="L24" s="65">
        <f t="shared" si="5"/>
        <v>110000</v>
      </c>
    </row>
    <row r="25" spans="1:12" x14ac:dyDescent="0.3">
      <c r="A25"/>
      <c r="C25" s="47">
        <v>1.5</v>
      </c>
      <c r="D25" t="s">
        <v>19</v>
      </c>
      <c r="E25" s="75"/>
      <c r="F25" s="75"/>
      <c r="G25" s="75"/>
      <c r="H25" s="75"/>
      <c r="I25" s="66" t="s">
        <v>80</v>
      </c>
      <c r="J25" s="65">
        <f>SUM(J24,J21)</f>
        <v>140000</v>
      </c>
      <c r="K25" s="65">
        <f t="shared" ref="K25:L25" si="6">SUM(K24,K21)</f>
        <v>160000</v>
      </c>
      <c r="L25" s="65">
        <f t="shared" si="6"/>
        <v>190000</v>
      </c>
    </row>
    <row r="26" spans="1:12" x14ac:dyDescent="0.3">
      <c r="A26"/>
      <c r="E26" s="75"/>
      <c r="F26" s="75"/>
      <c r="G26" s="75"/>
      <c r="H26" s="75"/>
      <c r="I26" s="68" t="s">
        <v>81</v>
      </c>
      <c r="J26" s="69"/>
      <c r="K26" s="69"/>
      <c r="L26" s="69"/>
    </row>
    <row r="27" spans="1:12" x14ac:dyDescent="0.3">
      <c r="A27"/>
      <c r="B27" s="62" t="s">
        <v>9</v>
      </c>
      <c r="C27" t="s">
        <v>92</v>
      </c>
      <c r="I27" s="63" t="s">
        <v>82</v>
      </c>
      <c r="J27" s="64">
        <v>110000</v>
      </c>
      <c r="K27" s="64">
        <v>120000</v>
      </c>
      <c r="L27" s="64">
        <v>130000</v>
      </c>
    </row>
    <row r="28" spans="1:12" x14ac:dyDescent="0.3">
      <c r="A28"/>
      <c r="C28" s="47">
        <v>0.25</v>
      </c>
      <c r="D28" t="s">
        <v>95</v>
      </c>
      <c r="E28" s="76"/>
      <c r="F28" s="76"/>
      <c r="G28" s="76"/>
      <c r="H28" s="76"/>
      <c r="I28" s="63" t="s">
        <v>83</v>
      </c>
      <c r="J28" s="64">
        <f>E17</f>
        <v>59220</v>
      </c>
      <c r="K28" s="64">
        <f t="shared" ref="K28:L28" si="7">F17</f>
        <v>63450</v>
      </c>
      <c r="L28" s="64">
        <f t="shared" si="7"/>
        <v>68385</v>
      </c>
    </row>
    <row r="29" spans="1:12" x14ac:dyDescent="0.3">
      <c r="A29"/>
      <c r="C29" s="47">
        <v>0.25</v>
      </c>
      <c r="D29" t="s">
        <v>99</v>
      </c>
      <c r="E29" s="76"/>
      <c r="I29" s="63" t="s">
        <v>89</v>
      </c>
      <c r="J29" s="64">
        <v>-75780</v>
      </c>
      <c r="K29" s="64">
        <v>-86550</v>
      </c>
      <c r="L29" s="64">
        <v>-101615</v>
      </c>
    </row>
    <row r="30" spans="1:12" x14ac:dyDescent="0.3">
      <c r="A30"/>
      <c r="C30" s="47">
        <v>1.5</v>
      </c>
      <c r="D30" t="s">
        <v>19</v>
      </c>
      <c r="E30" s="75"/>
      <c r="F30" s="75"/>
      <c r="G30" s="75"/>
      <c r="H30" s="75"/>
      <c r="I30" s="66" t="s">
        <v>84</v>
      </c>
      <c r="J30" s="65">
        <v>135000</v>
      </c>
      <c r="K30" s="65">
        <v>150000</v>
      </c>
      <c r="L30" s="65">
        <v>170000</v>
      </c>
    </row>
    <row r="31" spans="1:12" x14ac:dyDescent="0.3">
      <c r="A31"/>
      <c r="E31" s="75"/>
      <c r="F31" s="75"/>
      <c r="G31" s="75"/>
      <c r="H31" s="75"/>
      <c r="I31" s="71" t="s">
        <v>85</v>
      </c>
      <c r="J31" s="72">
        <v>275000</v>
      </c>
      <c r="K31" s="72">
        <v>310000</v>
      </c>
      <c r="L31" s="72">
        <v>360000</v>
      </c>
    </row>
    <row r="32" spans="1:12" x14ac:dyDescent="0.3">
      <c r="A32"/>
    </row>
    <row r="33" spans="1:8" x14ac:dyDescent="0.3">
      <c r="A33"/>
      <c r="B33" s="83" t="s">
        <v>107</v>
      </c>
      <c r="C33" s="84"/>
      <c r="D33" s="84"/>
      <c r="E33" s="84"/>
      <c r="F33" s="84"/>
      <c r="G33" s="84"/>
      <c r="H33" s="84"/>
    </row>
    <row r="34" spans="1:8" x14ac:dyDescent="0.3">
      <c r="A34"/>
      <c r="C34" s="79" t="s">
        <v>93</v>
      </c>
      <c r="D34" s="79"/>
      <c r="E34" s="79"/>
      <c r="F34" s="79"/>
      <c r="G34" s="79"/>
      <c r="H34" s="79"/>
    </row>
    <row r="35" spans="1:8" x14ac:dyDescent="0.3">
      <c r="A35"/>
      <c r="C35" s="80">
        <v>0.25</v>
      </c>
      <c r="D35" s="79" t="s">
        <v>95</v>
      </c>
      <c r="E35" s="81"/>
      <c r="F35" s="81"/>
      <c r="G35" s="81"/>
      <c r="H35" s="81"/>
    </row>
    <row r="36" spans="1:8" x14ac:dyDescent="0.3">
      <c r="A36"/>
      <c r="C36" s="80">
        <v>0.25</v>
      </c>
      <c r="D36" s="79" t="s">
        <v>99</v>
      </c>
      <c r="E36" s="81"/>
    </row>
    <row r="37" spans="1:8" x14ac:dyDescent="0.3">
      <c r="A37"/>
      <c r="C37" s="80">
        <v>1.5</v>
      </c>
      <c r="D37" s="79" t="s">
        <v>19</v>
      </c>
      <c r="E37" s="82"/>
      <c r="F37" s="82"/>
      <c r="G37" s="82"/>
      <c r="H37" s="82"/>
    </row>
    <row r="38" spans="1:8" x14ac:dyDescent="0.3">
      <c r="A38"/>
      <c r="C38" s="79"/>
      <c r="D38" s="79"/>
      <c r="E38" s="82"/>
      <c r="F38" s="82"/>
      <c r="G38" s="82"/>
      <c r="H38" s="82"/>
    </row>
    <row r="39" spans="1:8" x14ac:dyDescent="0.3">
      <c r="A39"/>
      <c r="C39" s="79" t="s">
        <v>94</v>
      </c>
      <c r="D39" s="79"/>
      <c r="E39" s="79"/>
      <c r="F39" s="79"/>
      <c r="G39" s="79"/>
      <c r="H39" s="79"/>
    </row>
    <row r="40" spans="1:8" x14ac:dyDescent="0.3">
      <c r="A40"/>
      <c r="C40" s="80">
        <v>0.25</v>
      </c>
      <c r="D40" s="79" t="s">
        <v>95</v>
      </c>
      <c r="E40" s="81"/>
      <c r="F40" s="81"/>
      <c r="G40" s="81"/>
      <c r="H40" s="81"/>
    </row>
    <row r="41" spans="1:8" x14ac:dyDescent="0.3">
      <c r="A41"/>
      <c r="C41" s="80">
        <v>0.25</v>
      </c>
      <c r="D41" s="79" t="s">
        <v>99</v>
      </c>
      <c r="E41" s="81"/>
      <c r="F41" s="79"/>
      <c r="G41" s="79"/>
      <c r="H41" s="79"/>
    </row>
    <row r="42" spans="1:8" x14ac:dyDescent="0.3">
      <c r="A42"/>
      <c r="C42" s="80">
        <v>1.5</v>
      </c>
      <c r="D42" s="79" t="s">
        <v>19</v>
      </c>
      <c r="E42" s="82"/>
      <c r="F42" s="82"/>
      <c r="G42" s="82"/>
      <c r="H42" s="82"/>
    </row>
    <row r="43" spans="1:8" x14ac:dyDescent="0.3">
      <c r="A43"/>
      <c r="C43" s="79"/>
      <c r="D43" s="79"/>
      <c r="E43" s="82"/>
      <c r="F43" s="82"/>
      <c r="G43" s="82"/>
      <c r="H43" s="82"/>
    </row>
    <row r="44" spans="1:8" x14ac:dyDescent="0.3">
      <c r="A44"/>
    </row>
    <row r="45" spans="1:8" x14ac:dyDescent="0.3">
      <c r="A45"/>
    </row>
    <row r="46" spans="1:8" x14ac:dyDescent="0.3">
      <c r="A46"/>
    </row>
    <row r="47" spans="1:8" x14ac:dyDescent="0.3">
      <c r="A47"/>
    </row>
    <row r="48" spans="1:8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FC53-B89B-40B7-B598-C7D19B9FF397}">
  <dimension ref="A1:M480"/>
  <sheetViews>
    <sheetView zoomScale="120" zoomScaleNormal="120" workbookViewId="0">
      <selection activeCell="A5" sqref="A5"/>
    </sheetView>
  </sheetViews>
  <sheetFormatPr baseColWidth="10" defaultRowHeight="14" x14ac:dyDescent="0.3"/>
  <cols>
    <col min="1" max="1" width="4.69921875" style="31" customWidth="1"/>
    <col min="2" max="2" width="4.296875" customWidth="1"/>
    <col min="3" max="3" width="10" bestFit="1" customWidth="1"/>
    <col min="4" max="4" width="16.59765625" customWidth="1"/>
    <col min="5" max="7" width="8.796875" customWidth="1"/>
    <col min="8" max="8" width="10.59765625" customWidth="1"/>
    <col min="9" max="9" width="20.3984375" customWidth="1"/>
    <col min="10" max="10" width="30.3984375" bestFit="1" customWidth="1"/>
    <col min="11" max="12" width="7.796875" customWidth="1"/>
    <col min="13" max="13" width="8.59765625" bestFit="1" customWidth="1"/>
  </cols>
  <sheetData>
    <row r="1" spans="1:13" s="27" customFormat="1" ht="24.2" thickBot="1" x14ac:dyDescent="0.35">
      <c r="A1" s="33">
        <f>IF(Indicaciones!G18="","",SUM(A22:A29))</f>
        <v>0</v>
      </c>
      <c r="B1" s="26" t="s">
        <v>23</v>
      </c>
    </row>
    <row r="2" spans="1:13" s="30" customFormat="1" ht="14.55" thickTop="1" x14ac:dyDescent="0.3">
      <c r="A2" s="34"/>
      <c r="G2" s="32"/>
      <c r="H2" s="32"/>
    </row>
    <row r="3" spans="1:13" x14ac:dyDescent="0.3">
      <c r="A3"/>
      <c r="C3" t="s">
        <v>90</v>
      </c>
      <c r="J3" t="s">
        <v>90</v>
      </c>
    </row>
    <row r="4" spans="1:13" x14ac:dyDescent="0.3">
      <c r="A4"/>
      <c r="C4" t="s">
        <v>51</v>
      </c>
      <c r="J4" s="74" t="s">
        <v>63</v>
      </c>
    </row>
    <row r="5" spans="1:13" x14ac:dyDescent="0.3">
      <c r="A5"/>
      <c r="C5" t="s">
        <v>54</v>
      </c>
      <c r="J5" s="74" t="s">
        <v>86</v>
      </c>
    </row>
    <row r="6" spans="1:13" x14ac:dyDescent="0.3">
      <c r="A6"/>
      <c r="C6" t="s">
        <v>40</v>
      </c>
      <c r="J6" s="63" t="s">
        <v>40</v>
      </c>
    </row>
    <row r="7" spans="1:13" x14ac:dyDescent="0.3">
      <c r="A7"/>
      <c r="E7" s="48">
        <v>2022</v>
      </c>
      <c r="F7" s="48">
        <v>2023</v>
      </c>
      <c r="G7" s="48">
        <v>2024</v>
      </c>
      <c r="J7" s="70" t="s">
        <v>64</v>
      </c>
      <c r="K7" s="66">
        <v>2022</v>
      </c>
      <c r="L7" s="66">
        <v>2023</v>
      </c>
      <c r="M7" s="66">
        <v>2024</v>
      </c>
    </row>
    <row r="8" spans="1:13" x14ac:dyDescent="0.3">
      <c r="A8"/>
      <c r="C8" t="s">
        <v>52</v>
      </c>
      <c r="E8" s="61">
        <v>400000</v>
      </c>
      <c r="F8" s="61">
        <v>450000</v>
      </c>
      <c r="G8" s="61">
        <v>520000</v>
      </c>
      <c r="J8" s="68" t="s">
        <v>65</v>
      </c>
      <c r="K8" s="69"/>
      <c r="L8" s="69"/>
      <c r="M8" s="69"/>
    </row>
    <row r="9" spans="1:13" x14ac:dyDescent="0.3">
      <c r="A9"/>
      <c r="C9" t="s">
        <v>109</v>
      </c>
      <c r="E9" s="61">
        <v>-240000</v>
      </c>
      <c r="F9" s="61">
        <v>-270000</v>
      </c>
      <c r="G9" s="61">
        <v>-320000</v>
      </c>
      <c r="J9" s="63" t="s">
        <v>88</v>
      </c>
      <c r="K9" s="64">
        <v>20000</v>
      </c>
      <c r="L9" s="64">
        <v>25000</v>
      </c>
      <c r="M9" s="64">
        <v>30000</v>
      </c>
    </row>
    <row r="10" spans="1:13" x14ac:dyDescent="0.3">
      <c r="A10"/>
      <c r="C10" s="48" t="s">
        <v>55</v>
      </c>
      <c r="E10" s="60">
        <f>SUM(E8:E9)</f>
        <v>160000</v>
      </c>
      <c r="F10" s="60">
        <f t="shared" ref="F10:G10" si="0">SUM(F8:F9)</f>
        <v>180000</v>
      </c>
      <c r="G10" s="60">
        <f t="shared" si="0"/>
        <v>200000</v>
      </c>
      <c r="J10" s="63" t="s">
        <v>87</v>
      </c>
      <c r="K10" s="64">
        <v>35000</v>
      </c>
      <c r="L10" s="64">
        <v>45000</v>
      </c>
      <c r="M10" s="64">
        <v>60000</v>
      </c>
    </row>
    <row r="11" spans="1:13" x14ac:dyDescent="0.3">
      <c r="A11"/>
      <c r="C11" t="s">
        <v>110</v>
      </c>
      <c r="E11" s="61">
        <v>-65000</v>
      </c>
      <c r="F11" s="61">
        <v>-75000</v>
      </c>
      <c r="G11" s="61">
        <v>-85000</v>
      </c>
      <c r="J11" s="63" t="s">
        <v>66</v>
      </c>
      <c r="K11" s="64">
        <v>70000</v>
      </c>
      <c r="L11" s="64">
        <v>80000</v>
      </c>
      <c r="M11" s="64">
        <v>95000</v>
      </c>
    </row>
    <row r="12" spans="1:13" x14ac:dyDescent="0.3">
      <c r="A12"/>
      <c r="C12" s="48" t="s">
        <v>58</v>
      </c>
      <c r="E12" s="60">
        <f t="shared" ref="E12:F12" si="1">SUM(E10:E11)</f>
        <v>95000</v>
      </c>
      <c r="F12" s="60">
        <f t="shared" si="1"/>
        <v>105000</v>
      </c>
      <c r="G12" s="60">
        <f>SUM(G10:G11)</f>
        <v>115000</v>
      </c>
      <c r="J12" s="67" t="s">
        <v>67</v>
      </c>
      <c r="K12" s="65">
        <f>SUM(K9:K11)</f>
        <v>125000</v>
      </c>
      <c r="L12" s="65">
        <f t="shared" ref="L12:M12" si="2">SUM(L9:L11)</f>
        <v>150000</v>
      </c>
      <c r="M12" s="65">
        <f t="shared" si="2"/>
        <v>185000</v>
      </c>
    </row>
    <row r="13" spans="1:13" x14ac:dyDescent="0.3">
      <c r="A13"/>
      <c r="C13" t="s">
        <v>113</v>
      </c>
      <c r="E13" s="61">
        <v>1000</v>
      </c>
      <c r="F13" s="61"/>
      <c r="G13" s="61"/>
      <c r="J13" s="68" t="s">
        <v>68</v>
      </c>
      <c r="K13" s="69"/>
      <c r="L13" s="69"/>
      <c r="M13" s="69"/>
    </row>
    <row r="14" spans="1:13" x14ac:dyDescent="0.3">
      <c r="A14"/>
      <c r="C14" t="s">
        <v>111</v>
      </c>
      <c r="E14" s="61">
        <v>-12000</v>
      </c>
      <c r="F14" s="61">
        <v>-15000</v>
      </c>
      <c r="G14" s="61">
        <v>-18000</v>
      </c>
      <c r="J14" s="63" t="s">
        <v>69</v>
      </c>
      <c r="K14" s="64">
        <v>180000</v>
      </c>
      <c r="L14" s="64">
        <v>200000</v>
      </c>
      <c r="M14" s="64">
        <v>230000</v>
      </c>
    </row>
    <row r="15" spans="1:13" x14ac:dyDescent="0.3">
      <c r="A15"/>
      <c r="C15" s="48" t="s">
        <v>56</v>
      </c>
      <c r="E15" s="60">
        <f>SUM(E12:E14)</f>
        <v>84000</v>
      </c>
      <c r="F15" s="60">
        <f>SUM(F12:F14)</f>
        <v>90000</v>
      </c>
      <c r="G15" s="60">
        <f>SUM(G12:G14)</f>
        <v>97000</v>
      </c>
      <c r="J15" s="63" t="s">
        <v>70</v>
      </c>
      <c r="K15" s="64">
        <v>-30000</v>
      </c>
      <c r="L15" s="64">
        <v>-40000</v>
      </c>
      <c r="M15" s="64">
        <v>-55000</v>
      </c>
    </row>
    <row r="16" spans="1:13" x14ac:dyDescent="0.3">
      <c r="A16"/>
      <c r="C16" t="s">
        <v>112</v>
      </c>
      <c r="E16" s="61">
        <f>-E15*29.5%</f>
        <v>-24780</v>
      </c>
      <c r="F16" s="61">
        <f>-F15*29.5%</f>
        <v>-26550</v>
      </c>
      <c r="G16" s="61">
        <f>-G15*29.5%</f>
        <v>-28615</v>
      </c>
      <c r="J16" s="67" t="s">
        <v>71</v>
      </c>
      <c r="K16" s="65">
        <f>SUM(K14:K15)</f>
        <v>150000</v>
      </c>
      <c r="L16" s="65">
        <f t="shared" ref="L16:M16" si="3">SUM(L14:L15)</f>
        <v>160000</v>
      </c>
      <c r="M16" s="65">
        <f t="shared" si="3"/>
        <v>175000</v>
      </c>
    </row>
    <row r="17" spans="1:13" x14ac:dyDescent="0.3">
      <c r="A17"/>
      <c r="C17" s="48" t="s">
        <v>57</v>
      </c>
      <c r="E17" s="60">
        <f>SUM(E15:E16)</f>
        <v>59220</v>
      </c>
      <c r="F17" s="60">
        <f>SUM(F15:F16)</f>
        <v>63450</v>
      </c>
      <c r="G17" s="60">
        <f>SUM(G15:G16)</f>
        <v>68385</v>
      </c>
      <c r="J17" s="73" t="s">
        <v>72</v>
      </c>
      <c r="K17" s="72">
        <f>SUM(K16,K12)</f>
        <v>275000</v>
      </c>
      <c r="L17" s="72">
        <f t="shared" ref="L17:M17" si="4">SUM(L16,L12)</f>
        <v>310000</v>
      </c>
      <c r="M17" s="72">
        <f t="shared" si="4"/>
        <v>360000</v>
      </c>
    </row>
    <row r="18" spans="1:13" x14ac:dyDescent="0.3">
      <c r="A18"/>
      <c r="C18" s="48"/>
      <c r="E18" s="60"/>
      <c r="F18" s="60"/>
      <c r="G18" s="60"/>
      <c r="J18" s="68" t="s">
        <v>73</v>
      </c>
      <c r="K18" s="69"/>
      <c r="L18" s="69"/>
      <c r="M18" s="69"/>
    </row>
    <row r="19" spans="1:13" x14ac:dyDescent="0.3">
      <c r="A19"/>
      <c r="J19" s="63" t="s">
        <v>74</v>
      </c>
      <c r="K19" s="64">
        <v>35000</v>
      </c>
      <c r="L19" s="64">
        <v>40000</v>
      </c>
      <c r="M19" s="64">
        <v>55000</v>
      </c>
    </row>
    <row r="20" spans="1:13" x14ac:dyDescent="0.3">
      <c r="A20"/>
      <c r="J20" s="63" t="s">
        <v>75</v>
      </c>
      <c r="K20" s="64">
        <v>15000</v>
      </c>
      <c r="L20" s="64">
        <v>20000</v>
      </c>
      <c r="M20" s="64">
        <v>25000</v>
      </c>
    </row>
    <row r="21" spans="1:13" x14ac:dyDescent="0.3">
      <c r="A21"/>
      <c r="B21" s="36" t="s">
        <v>8</v>
      </c>
      <c r="C21" t="s">
        <v>100</v>
      </c>
      <c r="J21" s="67" t="s">
        <v>76</v>
      </c>
      <c r="K21" s="65">
        <f t="shared" ref="K21:M21" si="5">SUM(K19:K20)</f>
        <v>50000</v>
      </c>
      <c r="L21" s="65">
        <f t="shared" si="5"/>
        <v>60000</v>
      </c>
      <c r="M21" s="65">
        <f t="shared" si="5"/>
        <v>80000</v>
      </c>
    </row>
    <row r="22" spans="1:13" x14ac:dyDescent="0.3">
      <c r="A22"/>
      <c r="C22" s="47">
        <v>0.25</v>
      </c>
      <c r="D22" t="s">
        <v>101</v>
      </c>
      <c r="J22" s="68" t="s">
        <v>77</v>
      </c>
      <c r="K22" s="69"/>
      <c r="L22" s="69"/>
      <c r="M22" s="69"/>
    </row>
    <row r="23" spans="1:13" x14ac:dyDescent="0.3">
      <c r="A23"/>
      <c r="C23" s="47">
        <v>0.25</v>
      </c>
      <c r="D23" s="50" t="s">
        <v>108</v>
      </c>
      <c r="H23" s="78"/>
      <c r="I23" s="78"/>
      <c r="J23" s="63" t="s">
        <v>78</v>
      </c>
      <c r="K23" s="64">
        <v>90000</v>
      </c>
      <c r="L23" s="64">
        <v>100000</v>
      </c>
      <c r="M23" s="64">
        <v>110000</v>
      </c>
    </row>
    <row r="24" spans="1:13" x14ac:dyDescent="0.3">
      <c r="A24"/>
      <c r="C24" s="47">
        <v>0.5</v>
      </c>
      <c r="D24" t="s">
        <v>106</v>
      </c>
      <c r="G24" s="77"/>
      <c r="H24" s="78"/>
      <c r="I24" s="78"/>
      <c r="J24" s="66" t="s">
        <v>79</v>
      </c>
      <c r="K24" s="65">
        <f>K23</f>
        <v>90000</v>
      </c>
      <c r="L24" s="65">
        <f t="shared" ref="L24:M24" si="6">L23</f>
        <v>100000</v>
      </c>
      <c r="M24" s="65">
        <f t="shared" si="6"/>
        <v>110000</v>
      </c>
    </row>
    <row r="25" spans="1:13" x14ac:dyDescent="0.3">
      <c r="A25"/>
      <c r="G25" s="77"/>
      <c r="H25" s="78"/>
      <c r="I25" s="78"/>
      <c r="J25" s="66" t="s">
        <v>80</v>
      </c>
      <c r="K25" s="65">
        <f>SUM(K24,K21)</f>
        <v>140000</v>
      </c>
      <c r="L25" s="65">
        <f t="shared" ref="L25:M25" si="7">SUM(L24,L21)</f>
        <v>160000</v>
      </c>
      <c r="M25" s="65">
        <f t="shared" si="7"/>
        <v>190000</v>
      </c>
    </row>
    <row r="26" spans="1:13" x14ac:dyDescent="0.3">
      <c r="A26"/>
      <c r="B26" s="62" t="s">
        <v>9</v>
      </c>
      <c r="C26" t="s">
        <v>102</v>
      </c>
      <c r="G26" s="40"/>
      <c r="H26" s="40"/>
      <c r="I26" s="40"/>
      <c r="J26" s="68" t="s">
        <v>81</v>
      </c>
      <c r="K26" s="69"/>
      <c r="L26" s="69"/>
      <c r="M26" s="69"/>
    </row>
    <row r="27" spans="1:13" x14ac:dyDescent="0.3">
      <c r="A27"/>
      <c r="C27" s="47">
        <v>0.25</v>
      </c>
      <c r="D27" t="s">
        <v>103</v>
      </c>
      <c r="G27" s="40"/>
      <c r="H27" s="40"/>
      <c r="I27" s="40"/>
      <c r="J27" s="63" t="s">
        <v>82</v>
      </c>
      <c r="K27" s="64">
        <v>110000</v>
      </c>
      <c r="L27" s="64">
        <v>120000</v>
      </c>
      <c r="M27" s="64">
        <v>130000</v>
      </c>
    </row>
    <row r="28" spans="1:13" x14ac:dyDescent="0.3">
      <c r="A28"/>
      <c r="C28" s="47">
        <v>0.25</v>
      </c>
      <c r="D28" s="50" t="s">
        <v>114</v>
      </c>
      <c r="H28" s="78"/>
      <c r="I28" s="78"/>
      <c r="J28" s="63" t="s">
        <v>83</v>
      </c>
      <c r="K28" s="64">
        <f>E17</f>
        <v>59220</v>
      </c>
      <c r="L28" s="64">
        <f t="shared" ref="L28" si="8">F17</f>
        <v>63450</v>
      </c>
      <c r="M28" s="64">
        <f>G17</f>
        <v>68385</v>
      </c>
    </row>
    <row r="29" spans="1:13" x14ac:dyDescent="0.3">
      <c r="A29"/>
      <c r="C29" s="47">
        <v>0.5</v>
      </c>
      <c r="D29" t="s">
        <v>106</v>
      </c>
      <c r="G29" s="77"/>
      <c r="H29" s="78"/>
      <c r="I29" s="78"/>
      <c r="J29" s="63" t="s">
        <v>89</v>
      </c>
      <c r="K29" s="64">
        <v>-75780</v>
      </c>
      <c r="L29" s="64">
        <v>-86550</v>
      </c>
      <c r="M29" s="64">
        <v>-101615</v>
      </c>
    </row>
    <row r="30" spans="1:13" x14ac:dyDescent="0.3">
      <c r="A30"/>
      <c r="G30" s="77"/>
      <c r="H30" s="78"/>
      <c r="I30" s="78"/>
      <c r="J30" s="66" t="s">
        <v>84</v>
      </c>
      <c r="K30" s="65">
        <v>135000</v>
      </c>
      <c r="L30" s="65">
        <v>150000</v>
      </c>
      <c r="M30" s="65">
        <v>170000</v>
      </c>
    </row>
    <row r="31" spans="1:13" x14ac:dyDescent="0.3">
      <c r="A31"/>
      <c r="J31" s="71" t="s">
        <v>85</v>
      </c>
      <c r="K31" s="72">
        <v>275000</v>
      </c>
      <c r="L31" s="72">
        <v>310000</v>
      </c>
      <c r="M31" s="72">
        <v>360000</v>
      </c>
    </row>
    <row r="32" spans="1:1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666F-AF61-4441-9D2D-9A4DA4715A2B}">
  <dimension ref="A1:J188"/>
  <sheetViews>
    <sheetView zoomScale="120" zoomScaleNormal="120" workbookViewId="0">
      <selection activeCell="B4" sqref="B4"/>
    </sheetView>
  </sheetViews>
  <sheetFormatPr baseColWidth="10" defaultRowHeight="14" x14ac:dyDescent="0.3"/>
  <cols>
    <col min="1" max="1" width="4.69921875" style="31" customWidth="1"/>
    <col min="2" max="2" width="4.296875" customWidth="1"/>
    <col min="3" max="3" width="10.69921875" style="49" customWidth="1"/>
    <col min="4" max="4" width="12.296875" customWidth="1"/>
    <col min="5" max="5" width="11.69921875" customWidth="1"/>
    <col min="6" max="6" width="4.8984375" bestFit="1" customWidth="1"/>
    <col min="7" max="7" width="12.5" customWidth="1"/>
    <col min="8" max="8" width="11.69921875" customWidth="1"/>
    <col min="9" max="22" width="10.69921875" customWidth="1"/>
  </cols>
  <sheetData>
    <row r="1" spans="1:10" s="27" customFormat="1" ht="24.2" thickBot="1" x14ac:dyDescent="0.35">
      <c r="A1" s="33">
        <f>IF(Indicaciones!G18="","",SUM(A9:A16))</f>
        <v>0</v>
      </c>
      <c r="B1" s="26" t="s">
        <v>24</v>
      </c>
      <c r="C1" s="54"/>
    </row>
    <row r="2" spans="1:10" s="30" customFormat="1" ht="14.55" thickTop="1" x14ac:dyDescent="0.3">
      <c r="A2" s="34"/>
      <c r="B2" s="34"/>
      <c r="C2" s="34"/>
      <c r="D2" s="34"/>
      <c r="E2" s="34"/>
      <c r="F2" s="34"/>
      <c r="G2" s="34"/>
      <c r="H2" s="32"/>
    </row>
    <row r="3" spans="1:10" s="30" customFormat="1" x14ac:dyDescent="0.3">
      <c r="A3" s="34"/>
      <c r="B3" s="34"/>
      <c r="C3" s="34"/>
      <c r="D3" s="34"/>
      <c r="E3" s="34"/>
      <c r="F3" s="34"/>
      <c r="G3" s="34"/>
      <c r="H3" s="32"/>
    </row>
    <row r="4" spans="1:10" x14ac:dyDescent="0.3">
      <c r="B4" s="31"/>
      <c r="C4" s="31"/>
      <c r="D4" s="31"/>
      <c r="E4" s="31"/>
      <c r="F4" s="31"/>
      <c r="G4" s="31"/>
      <c r="J4" s="36"/>
    </row>
    <row r="5" spans="1:10" x14ac:dyDescent="0.3">
      <c r="B5" s="31"/>
      <c r="C5" s="31"/>
      <c r="D5" s="31"/>
      <c r="E5" s="31"/>
      <c r="F5" s="31"/>
      <c r="G5" s="31"/>
      <c r="J5" s="36"/>
    </row>
    <row r="6" spans="1:10" x14ac:dyDescent="0.3">
      <c r="B6" s="31"/>
      <c r="C6" s="31"/>
      <c r="D6" s="31"/>
      <c r="E6" s="31"/>
      <c r="F6" s="31"/>
      <c r="G6" s="31"/>
      <c r="J6" s="36"/>
    </row>
    <row r="7" spans="1:10" x14ac:dyDescent="0.3">
      <c r="B7" s="31"/>
      <c r="C7" s="31"/>
      <c r="D7" s="31"/>
      <c r="E7" s="31"/>
      <c r="F7" s="31"/>
      <c r="G7" s="31"/>
      <c r="I7" s="55"/>
    </row>
    <row r="8" spans="1:10" x14ac:dyDescent="0.3">
      <c r="B8" s="49"/>
    </row>
    <row r="9" spans="1:10" x14ac:dyDescent="0.3">
      <c r="A9" s="46"/>
      <c r="B9" s="36" t="s">
        <v>8</v>
      </c>
      <c r="C9" s="47">
        <v>1</v>
      </c>
      <c r="D9" t="s">
        <v>49</v>
      </c>
      <c r="H9" s="56"/>
    </row>
    <row r="10" spans="1:10" x14ac:dyDescent="0.3">
      <c r="A10" s="46"/>
      <c r="B10" s="49"/>
    </row>
    <row r="11" spans="1:10" x14ac:dyDescent="0.3">
      <c r="A11" s="46"/>
      <c r="B11" s="36" t="s">
        <v>9</v>
      </c>
      <c r="C11" s="47">
        <v>1</v>
      </c>
      <c r="D11" s="50" t="s">
        <v>50</v>
      </c>
      <c r="H11" s="56"/>
      <c r="J11" s="36"/>
    </row>
    <row r="12" spans="1:10" x14ac:dyDescent="0.3">
      <c r="B12" s="49"/>
      <c r="J12" s="36"/>
    </row>
    <row r="13" spans="1:10" x14ac:dyDescent="0.3">
      <c r="A13" s="46"/>
      <c r="B13" s="36" t="s">
        <v>10</v>
      </c>
      <c r="C13" s="47">
        <v>1</v>
      </c>
      <c r="D13" s="50" t="s">
        <v>48</v>
      </c>
    </row>
    <row r="14" spans="1:10" x14ac:dyDescent="0.3">
      <c r="A14" s="46"/>
      <c r="B14" s="49"/>
      <c r="D14" s="49" t="s">
        <v>96</v>
      </c>
      <c r="E14" s="58"/>
      <c r="F14" s="49"/>
      <c r="G14" s="37" t="s">
        <v>97</v>
      </c>
      <c r="H14" s="58"/>
    </row>
    <row r="15" spans="1:10" x14ac:dyDescent="0.3">
      <c r="A15" s="46"/>
      <c r="C15"/>
    </row>
    <row r="16" spans="1:10" x14ac:dyDescent="0.3">
      <c r="A16" s="46"/>
      <c r="B16" s="36" t="s">
        <v>11</v>
      </c>
      <c r="C16" s="47">
        <v>2</v>
      </c>
      <c r="D16" s="57" t="s">
        <v>105</v>
      </c>
    </row>
    <row r="17" spans="1:8" x14ac:dyDescent="0.3">
      <c r="A17"/>
      <c r="H17" s="58"/>
    </row>
    <row r="18" spans="1:8" x14ac:dyDescent="0.3">
      <c r="A18"/>
    </row>
    <row r="19" spans="1:8" x14ac:dyDescent="0.3">
      <c r="A19"/>
    </row>
    <row r="20" spans="1:8" x14ac:dyDescent="0.3">
      <c r="A20"/>
    </row>
    <row r="21" spans="1:8" x14ac:dyDescent="0.3">
      <c r="A21"/>
    </row>
    <row r="22" spans="1:8" x14ac:dyDescent="0.3">
      <c r="A22"/>
    </row>
    <row r="23" spans="1:8" x14ac:dyDescent="0.3">
      <c r="A23"/>
    </row>
    <row r="24" spans="1:8" x14ac:dyDescent="0.3">
      <c r="A24"/>
    </row>
    <row r="25" spans="1:8" x14ac:dyDescent="0.3">
      <c r="A25"/>
    </row>
    <row r="26" spans="1:8" x14ac:dyDescent="0.3">
      <c r="A26"/>
    </row>
    <row r="27" spans="1:8" x14ac:dyDescent="0.3">
      <c r="A27"/>
    </row>
    <row r="28" spans="1:8" x14ac:dyDescent="0.3">
      <c r="A28"/>
    </row>
    <row r="29" spans="1:8" x14ac:dyDescent="0.3">
      <c r="A29"/>
    </row>
    <row r="30" spans="1:8" x14ac:dyDescent="0.3">
      <c r="A30"/>
    </row>
    <row r="31" spans="1:8" x14ac:dyDescent="0.3">
      <c r="A31"/>
    </row>
    <row r="32" spans="1:8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</sheetData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Indicaciones</vt:lpstr>
      <vt:lpstr>Parte 1</vt:lpstr>
      <vt:lpstr>Parte 2</vt:lpstr>
      <vt:lpstr>Parte 3</vt:lpstr>
      <vt:lpstr>Parte 4</vt:lpstr>
      <vt:lpstr>Parte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Velásquez</dc:creator>
  <cp:lastModifiedBy>Miguel Velásquez</cp:lastModifiedBy>
  <cp:lastPrinted>2023-10-07T03:54:04Z</cp:lastPrinted>
  <dcterms:created xsi:type="dcterms:W3CDTF">2015-06-05T18:19:34Z</dcterms:created>
  <dcterms:modified xsi:type="dcterms:W3CDTF">2025-10-28T05:58:17Z</dcterms:modified>
</cp:coreProperties>
</file>