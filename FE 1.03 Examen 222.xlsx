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19815647f7891f8/Documentos/"/>
    </mc:Choice>
  </mc:AlternateContent>
  <xr:revisionPtr revIDLastSave="74" documentId="8_{68DD9C43-046D-476A-849A-BC0426BE9CD2}" xr6:coauthVersionLast="47" xr6:coauthVersionMax="47" xr10:uidLastSave="{2D710B36-A78F-4527-A1F7-1B5888FE9D53}"/>
  <bookViews>
    <workbookView xWindow="-108" yWindow="-108" windowWidth="23256" windowHeight="12456" activeTab="4" xr2:uid="{00000000-000D-0000-FFFF-FFFF00000000}"/>
  </bookViews>
  <sheets>
    <sheet name="Indicaciones" sheetId="1" r:id="rId1"/>
    <sheet name="Parte 1" sheetId="4" r:id="rId2"/>
    <sheet name="Parte 2" sheetId="3" r:id="rId3"/>
    <sheet name="Parte 3" sheetId="5" r:id="rId4"/>
    <sheet name="Parte 4" sheetId="6" r:id="rId5"/>
    <sheet name="Parte 5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6" l="1"/>
  <c r="E45" i="6"/>
  <c r="E44" i="6"/>
  <c r="E43" i="6"/>
  <c r="E41" i="6"/>
  <c r="E42" i="6"/>
  <c r="E40" i="6"/>
  <c r="E36" i="6"/>
  <c r="E34" i="6"/>
  <c r="E35" i="6"/>
  <c r="E33" i="6"/>
  <c r="E32" i="6"/>
  <c r="E29" i="5"/>
  <c r="E24" i="5"/>
  <c r="I34" i="3"/>
  <c r="I29" i="3"/>
  <c r="I23" i="3"/>
  <c r="I18" i="3"/>
  <c r="F10" i="6"/>
  <c r="F12" i="6" s="1"/>
  <c r="F15" i="6" s="1"/>
  <c r="F16" i="6" s="1"/>
  <c r="G10" i="6"/>
  <c r="G12" i="6" s="1"/>
  <c r="G15" i="6" s="1"/>
  <c r="G16" i="6" s="1"/>
  <c r="E10" i="6"/>
  <c r="E12" i="6" s="1"/>
  <c r="E15" i="6" s="1"/>
  <c r="E16" i="6" s="1"/>
  <c r="A1" i="6"/>
  <c r="F15" i="1" s="1"/>
  <c r="M24" i="6"/>
  <c r="L24" i="6"/>
  <c r="K24" i="6"/>
  <c r="M21" i="6"/>
  <c r="M25" i="6" s="1"/>
  <c r="L21" i="6"/>
  <c r="K21" i="6"/>
  <c r="M16" i="6"/>
  <c r="L16" i="6"/>
  <c r="K16" i="6"/>
  <c r="M12" i="6"/>
  <c r="L12" i="6"/>
  <c r="K12" i="6"/>
  <c r="A1" i="5"/>
  <c r="K24" i="5"/>
  <c r="L24" i="5"/>
  <c r="J24" i="5"/>
  <c r="L21" i="5"/>
  <c r="K21" i="5"/>
  <c r="J21" i="5"/>
  <c r="K16" i="5"/>
  <c r="L16" i="5"/>
  <c r="J16" i="5"/>
  <c r="K12" i="5"/>
  <c r="L12" i="5"/>
  <c r="J12" i="5"/>
  <c r="E10" i="5"/>
  <c r="E12" i="5" s="1"/>
  <c r="E15" i="5" s="1"/>
  <c r="G10" i="5"/>
  <c r="F10" i="5"/>
  <c r="F12" i="5" s="1"/>
  <c r="F15" i="5" s="1"/>
  <c r="F16" i="5" s="1"/>
  <c r="F17" i="5" s="1"/>
  <c r="K28" i="5" s="1"/>
  <c r="G12" i="5"/>
  <c r="G15" i="5" s="1"/>
  <c r="L17" i="6" l="1"/>
  <c r="K17" i="6"/>
  <c r="F17" i="6"/>
  <c r="L28" i="6" s="1"/>
  <c r="E17" i="6"/>
  <c r="L25" i="6"/>
  <c r="K25" i="6"/>
  <c r="M17" i="6"/>
  <c r="J25" i="5"/>
  <c r="J17" i="5"/>
  <c r="K25" i="5"/>
  <c r="L17" i="5"/>
  <c r="L25" i="5"/>
  <c r="K17" i="5"/>
  <c r="E16" i="5"/>
  <c r="E17" i="5" s="1"/>
  <c r="J28" i="5" s="1"/>
  <c r="G16" i="5"/>
  <c r="G17" i="5" s="1"/>
  <c r="L28" i="5" s="1"/>
  <c r="A1" i="3"/>
  <c r="K28" i="6" l="1"/>
  <c r="G17" i="6"/>
  <c r="E18" i="1"/>
  <c r="D16" i="1"/>
  <c r="D15" i="1"/>
  <c r="D14" i="1"/>
  <c r="A1" i="7"/>
  <c r="F16" i="1" s="1"/>
  <c r="M28" i="6" l="1"/>
  <c r="A1" i="4"/>
  <c r="F12" i="1" l="1"/>
  <c r="F13" i="1" l="1"/>
  <c r="F14" i="1"/>
  <c r="D13" i="1"/>
  <c r="F18" i="1" l="1"/>
  <c r="D12" i="1"/>
</calcChain>
</file>

<file path=xl/sharedStrings.xml><?xml version="1.0" encoding="utf-8"?>
<sst xmlns="http://schemas.openxmlformats.org/spreadsheetml/2006/main" count="212" uniqueCount="139">
  <si>
    <t>Indicaciones:</t>
  </si>
  <si>
    <t>Calificación:</t>
  </si>
  <si>
    <t>Hoja</t>
  </si>
  <si>
    <t>Tema</t>
  </si>
  <si>
    <t>Puntaje por pregunta</t>
  </si>
  <si>
    <t>Puntaje del alumno</t>
  </si>
  <si>
    <t>Finanzas Empresariales</t>
  </si>
  <si>
    <t>- De identificarse trabajos copiados, parcial o totalmente, se procederá y sancionará según reglamento.</t>
  </si>
  <si>
    <t>1</t>
  </si>
  <si>
    <t>2</t>
  </si>
  <si>
    <t>3</t>
  </si>
  <si>
    <t>4</t>
  </si>
  <si>
    <t xml:space="preserve"> </t>
  </si>
  <si>
    <t>- Duración: 50 minutos.</t>
  </si>
  <si>
    <t>Parte 1</t>
  </si>
  <si>
    <t>Parte 2</t>
  </si>
  <si>
    <t>Parte 3</t>
  </si>
  <si>
    <t>Preguntas de teoría</t>
  </si>
  <si>
    <t>Interprete el resultado.</t>
  </si>
  <si>
    <t>Interpretación</t>
  </si>
  <si>
    <t>Las preguntas de teoría las encontrarán en Canvas</t>
  </si>
  <si>
    <t>Estado de flujo de efectivo</t>
  </si>
  <si>
    <t>Ratios</t>
  </si>
  <si>
    <t>Tendencias</t>
  </si>
  <si>
    <t>Tasas de interés</t>
  </si>
  <si>
    <t>2025-2</t>
  </si>
  <si>
    <t>- Al terminar, carga tu archivo de Excel en Canvas. Debes mostrar las fórmulas empleadas, no solo los valores.</t>
  </si>
  <si>
    <t>- La respuesta debe indicarla en la celda resaltada en amarrillo, haciendo referencia a la celda en la que ha hecho sus cálculos.</t>
  </si>
  <si>
    <t>- No agregue ningún valor en la celdas en color verde.</t>
  </si>
  <si>
    <t>- El desarrollo de la prueba debe ser de manera individual.y no se permite materiales de apoyo.</t>
  </si>
  <si>
    <t>Examen 2</t>
  </si>
  <si>
    <t>Elabore el flujo neto operativo.</t>
  </si>
  <si>
    <t>Elabore el flujo neto de inversión.</t>
  </si>
  <si>
    <t>Elabore el flujo neto de financiamiento.</t>
  </si>
  <si>
    <t>Disminución en Inventarios</t>
  </si>
  <si>
    <t>Compra de nuevo local comercial</t>
  </si>
  <si>
    <t>Compra de equipos de computo</t>
  </si>
  <si>
    <t>Préstamo bancario a largo plazo recibido</t>
  </si>
  <si>
    <t>Pago de dividendos a accionistas</t>
  </si>
  <si>
    <t>Depreciación</t>
  </si>
  <si>
    <t>En Soles</t>
  </si>
  <si>
    <t>Utilidad Neta</t>
  </si>
  <si>
    <t>Amortización</t>
  </si>
  <si>
    <t>Aumento en cuentas por cobrar</t>
  </si>
  <si>
    <t>Aumento en cuentas por pagar</t>
  </si>
  <si>
    <t>Disminución en sueldos por pagar</t>
  </si>
  <si>
    <t>Cancelación de deuda</t>
  </si>
  <si>
    <t>Datos</t>
  </si>
  <si>
    <t>Calcule el valor futuro de ambas alternativas a los 3 años</t>
  </si>
  <si>
    <t>Calcule la TEA de la Alternativa A.</t>
  </si>
  <si>
    <t>Convierta la TET de la Alternativa B a TEA.</t>
  </si>
  <si>
    <t>Estado de Resultados</t>
  </si>
  <si>
    <t>Ingresos por Ventas</t>
  </si>
  <si>
    <t>(-) Costo de Ventas</t>
  </si>
  <si>
    <t>Del 01/enero a 31/diciembre de …</t>
  </si>
  <si>
    <t>Utilidad bruta</t>
  </si>
  <si>
    <t>Utilidad antes de impuestos</t>
  </si>
  <si>
    <t>Utilidad neta</t>
  </si>
  <si>
    <t>Utilidad operativa</t>
  </si>
  <si>
    <t>(+) Ingresos financieros</t>
  </si>
  <si>
    <t>(-) Gastos financieros</t>
  </si>
  <si>
    <t>(-) Gastos operativos</t>
  </si>
  <si>
    <t>(-) Impuesto a la Renta (29.5%)</t>
  </si>
  <si>
    <t>Estado de Situación Financiera</t>
  </si>
  <si>
    <t>ACTIVO</t>
  </si>
  <si>
    <t>ACTIVO CORRIENTE</t>
  </si>
  <si>
    <t>Inventarios</t>
  </si>
  <si>
    <t>Total Activo Corriente</t>
  </si>
  <si>
    <t>ACTIVO NO CORRIENTE</t>
  </si>
  <si>
    <t>Propiedad, Planta y Equipo</t>
  </si>
  <si>
    <t>(-) Depreciación Acumulada</t>
  </si>
  <si>
    <t>Total Activo No Corriente</t>
  </si>
  <si>
    <t>TOTAL ACTIVO</t>
  </si>
  <si>
    <t>PASIVO CORRIENTE</t>
  </si>
  <si>
    <t>Cuentas por Pagar Comerciales</t>
  </si>
  <si>
    <t>Sobregiro Bancario</t>
  </si>
  <si>
    <t>Total Pasivo Corriente</t>
  </si>
  <si>
    <t>PASIVO NO CORRIENTE</t>
  </si>
  <si>
    <t>Préstamos Bancarios L/P</t>
  </si>
  <si>
    <t>Total Pasivo No Corriente</t>
  </si>
  <si>
    <t>TOTAL PASIVO</t>
  </si>
  <si>
    <t>PATRIMONIO</t>
  </si>
  <si>
    <t>Capital Social</t>
  </si>
  <si>
    <t>Resultados Acumulados</t>
  </si>
  <si>
    <t>Total Patrimonio</t>
  </si>
  <si>
    <t>TOTAL PASIVO Y PATRIMONIO</t>
  </si>
  <si>
    <t>Al 31 de diciembre de …</t>
  </si>
  <si>
    <t>Cuentas por cobrar comerciales</t>
  </si>
  <si>
    <t>Caja y bancos</t>
  </si>
  <si>
    <t>Dividendos</t>
  </si>
  <si>
    <t>TechSol S.A.</t>
  </si>
  <si>
    <t>Mida la capacidad de la empresa para pagar sus obligaciones a CP.</t>
  </si>
  <si>
    <t>Mida la generación de utilidades de la empresa versus sus ventas o inversión.</t>
  </si>
  <si>
    <t>Evalúe la eficiencia de la empresa en la gestión de sus recursos.</t>
  </si>
  <si>
    <t>Mida la capacidad de la empresa para pagos de LP y estructura de capital.</t>
  </si>
  <si>
    <t>Nombre de ratio</t>
  </si>
  <si>
    <t>Alternativa "A"</t>
  </si>
  <si>
    <t>y Alternativa "B"</t>
  </si>
  <si>
    <t>En las siguientes preguntas utilice los ratios que crea conveniente:</t>
  </si>
  <si>
    <t>Cálculo del ratio</t>
  </si>
  <si>
    <t>En el Estado de Resultados del año 2024:</t>
  </si>
  <si>
    <t>Calcule la participación porcentual de cada partida.</t>
  </si>
  <si>
    <t>En el Estado de Situación Financiera:</t>
  </si>
  <si>
    <t>Calcule el crecimiento de cada partida respecto al año 2022.</t>
  </si>
  <si>
    <t>Elabore el Estado de flujo de efectivo.</t>
  </si>
  <si>
    <t>El Sr. Martínez desea saber cuánto debe depositar hoy para retirar S/ 70,000 en 5 años usando la mejor alternativa.</t>
  </si>
  <si>
    <t>Interprete el resultado anterior.</t>
  </si>
  <si>
    <t>Estas perguntas serían alternativas para modificar el original</t>
  </si>
  <si>
    <t>Nombre del costo o gasto que tiene mayor peso.</t>
  </si>
  <si>
    <t>Costo de Ventas</t>
  </si>
  <si>
    <t>Gastos operativos</t>
  </si>
  <si>
    <t>Gastos financieros</t>
  </si>
  <si>
    <t>Impuesto a la Renta (29.5%)</t>
  </si>
  <si>
    <t>Ingresos financieros</t>
  </si>
  <si>
    <t>Nombre del ítem que creció menos el 2024.</t>
  </si>
  <si>
    <t>1-</t>
  </si>
  <si>
    <t>Interpretación:</t>
  </si>
  <si>
    <t>La empresa generó S/ 151,000 de efectivo a partir de sus operaciones principales (ventas y costos), lo cual es positivo e indica que el negocio es rentable en términos de efectivo.</t>
  </si>
  <si>
    <t>2-</t>
  </si>
  <si>
    <t>El flujo es negativo (S/ -205,000), lo que indica que la empresa está invirtiendo fuertemente en activos a largo plazo (expansión/renovación de local y equipos). Esta es una señal de crecimiento.</t>
  </si>
  <si>
    <t>3-</t>
  </si>
  <si>
    <t>El flujo es positivo (S/ 80,000). La empresa recibió más efectivo del que pagó en financiamiento, principalmente por la obtención de un préstamo a largo plazo (S/ 150,000).</t>
  </si>
  <si>
    <t>4-</t>
  </si>
  <si>
    <t>El flujo de efectivo del periodo fue positivo en S/ 26,000. Esto significa que, después de financiar sus operaciones, hacer grandes inversiones en activos fijos y gestionar su deuda/capital, la empresa logró un aumento neto en su saldo de efectivo (Caja y Bancos) de S/ 26,000 al final del periodo.</t>
  </si>
  <si>
    <t>Ratio Corriente</t>
  </si>
  <si>
    <t>Por cada Sol de deuda de corto plazo (Pasivo Corriente), la empresa cuenta con S/ 2.31 de Activo Corriente para respaldarla. Este es un nivel de liquidez saludable y superior al mínimo aceptable (generalmente 1.0).</t>
  </si>
  <si>
    <t>Margen Neto</t>
  </si>
  <si>
    <t>Por cada Sol de venta, la empresa genera S/ 0.1315 (o 13.15%) de Utilidad Neta después de cubrir todos sus costos, gastos e impuestos. Este ratio mide la rentabilidad final del negocio</t>
  </si>
  <si>
    <t>Ingresos por ventas</t>
  </si>
  <si>
    <t>Costo de ventas</t>
  </si>
  <si>
    <t>Impuesto a la renta</t>
  </si>
  <si>
    <t>Cuentas por Cobrar</t>
  </si>
  <si>
    <t>Planta y equipo</t>
  </si>
  <si>
    <t>préstamos bancarios</t>
  </si>
  <si>
    <t>capital social</t>
  </si>
  <si>
    <t>El costo o gasto que tiene mayor peso es el Costo de Ventas con 61.54% de los Ingresos por Ventas.</t>
  </si>
  <si>
    <t>Interpretación: El 61.54% de cada sol que ingresa por ventas se destina a cubrir el Costo de los bienes o servicios vendidos. Es el rubro más significativo en la estructura de costos y gastos, por lo que cualquier variación en este costo tendrá el mayor impacto en la rentabilidad de la empresa.</t>
  </si>
  <si>
    <t>El ítem que creció menos en el 2024 respecto al 2022 es el Capital Social con un crecimiento del 18.18%.</t>
  </si>
  <si>
    <t>Interpretación: El Capital Social es el rubro que menos ha crecido de la lista, indicando que el financiamiento a través de la emisión de acciones o el aporte de capital ha sido la fuente de recursos menos dinámica en el periodo 2022-2024. El mayor crecimiento ha provenido de la actividad operativa (Cuentas por Cobrar) y de pasivos (Cuentas por Pagar Comerciales).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</si>
</sst>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S/&quot;\ #,##0;[Red]\-&quot;S/&quot;\ #,##0"/>
    <numFmt numFmtId="164" formatCode="ddd\ dd/mmm/yyyy"/>
    <numFmt numFmtId="165" formatCode="0.0\ \ \ &quot;ptos&quot;"/>
    <numFmt numFmtId="166" formatCode="0.00\ \ \ &quot;ptos&quot;"/>
    <numFmt numFmtId="167" formatCode="00.00"/>
    <numFmt numFmtId="168" formatCode="\(\ @\ \)"/>
    <numFmt numFmtId="169" formatCode="0.00\ &quot;pto(s)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24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F1115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8" fontId="2" fillId="0" borderId="0" applyFill="0" applyBorder="0" applyProtection="0">
      <alignment horizontal="center" vertical="center"/>
      <protection locked="0"/>
    </xf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/>
    <xf numFmtId="49" fontId="2" fillId="0" borderId="0" xfId="0" quotePrefix="1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indent="1"/>
    </xf>
    <xf numFmtId="165" fontId="2" fillId="0" borderId="3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 applyProtection="1">
      <alignment horizontal="center" vertical="center"/>
      <protection hidden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indent="1"/>
    </xf>
    <xf numFmtId="165" fontId="2" fillId="3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 applyProtection="1">
      <alignment horizontal="center" vertical="center"/>
      <protection hidden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indent="1"/>
    </xf>
    <xf numFmtId="165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 applyProtection="1">
      <alignment horizontal="center" vertical="center"/>
      <protection hidden="1"/>
    </xf>
    <xf numFmtId="165" fontId="2" fillId="0" borderId="0" xfId="0" applyNumberFormat="1" applyFont="1" applyAlignment="1">
      <alignment vertical="center"/>
    </xf>
    <xf numFmtId="167" fontId="2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 indent="1"/>
    </xf>
    <xf numFmtId="167" fontId="3" fillId="3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7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" fontId="8" fillId="0" borderId="1" xfId="0" applyNumberFormat="1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locked="0"/>
    </xf>
    <xf numFmtId="0" fontId="0" fillId="0" borderId="0" xfId="0" quotePrefix="1"/>
    <xf numFmtId="168" fontId="2" fillId="0" borderId="0" xfId="1" applyProtection="1">
      <alignment horizontal="center" vertical="center"/>
    </xf>
    <xf numFmtId="0" fontId="0" fillId="0" borderId="0" xfId="0" applyAlignment="1">
      <alignment horizontal="right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1" fontId="9" fillId="0" borderId="0" xfId="0" applyNumberFormat="1" applyFont="1" applyAlignment="1" applyProtection="1">
      <alignment vertical="center"/>
      <protection locked="0"/>
    </xf>
    <xf numFmtId="1" fontId="9" fillId="0" borderId="0" xfId="0" applyNumberFormat="1" applyFont="1"/>
    <xf numFmtId="1" fontId="9" fillId="0" borderId="0" xfId="0" applyNumberFormat="1" applyFont="1" applyAlignment="1">
      <alignment horizontal="center" vertical="center"/>
    </xf>
    <xf numFmtId="1" fontId="0" fillId="0" borderId="0" xfId="0" applyNumberFormat="1"/>
    <xf numFmtId="2" fontId="9" fillId="0" borderId="0" xfId="0" applyNumberFormat="1" applyFon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/>
    </xf>
    <xf numFmtId="169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right" vertical="center"/>
    </xf>
    <xf numFmtId="6" fontId="0" fillId="0" borderId="0" xfId="0" applyNumberFormat="1" applyAlignment="1">
      <alignment vertical="center"/>
    </xf>
    <xf numFmtId="6" fontId="0" fillId="0" borderId="0" xfId="0" applyNumberFormat="1"/>
    <xf numFmtId="0" fontId="2" fillId="0" borderId="1" xfId="0" applyFont="1" applyBorder="1" applyAlignment="1" applyProtection="1">
      <alignment horizontal="center" vertical="center"/>
      <protection locked="0"/>
    </xf>
    <xf numFmtId="10" fontId="0" fillId="0" borderId="0" xfId="0" applyNumberFormat="1" applyAlignment="1">
      <alignment horizontal="center"/>
    </xf>
    <xf numFmtId="10" fontId="10" fillId="4" borderId="0" xfId="0" applyNumberFormat="1" applyFont="1" applyFill="1" applyAlignment="1">
      <alignment horizontal="center"/>
    </xf>
    <xf numFmtId="0" fontId="11" fillId="0" borderId="0" xfId="0" applyFont="1"/>
    <xf numFmtId="4" fontId="10" fillId="4" borderId="0" xfId="0" applyNumberFormat="1" applyFont="1" applyFill="1" applyAlignment="1">
      <alignment horizontal="center"/>
    </xf>
    <xf numFmtId="0" fontId="3" fillId="0" borderId="0" xfId="0" applyFont="1" applyAlignment="1" applyProtection="1">
      <alignment vertical="center"/>
      <protection locked="0"/>
    </xf>
    <xf numFmtId="3" fontId="10" fillId="0" borderId="0" xfId="0" applyNumberFormat="1" applyFont="1"/>
    <xf numFmtId="3" fontId="0" fillId="0" borderId="0" xfId="0" applyNumberFormat="1"/>
    <xf numFmtId="168" fontId="2" fillId="0" borderId="0" xfId="1" applyAlignment="1" applyProtection="1">
      <alignment horizontal="left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  <xf numFmtId="3" fontId="12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0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indent="1"/>
    </xf>
    <xf numFmtId="3" fontId="13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0" fillId="4" borderId="0" xfId="0" applyFill="1"/>
    <xf numFmtId="0" fontId="10" fillId="4" borderId="0" xfId="0" applyFont="1" applyFill="1"/>
    <xf numFmtId="0" fontId="0" fillId="4" borderId="0" xfId="0" applyFill="1" applyAlignment="1">
      <alignment horizontal="left" vertical="top"/>
    </xf>
    <xf numFmtId="0" fontId="0" fillId="4" borderId="0" xfId="0" applyFill="1" applyAlignment="1">
      <alignment horizontal="left"/>
    </xf>
    <xf numFmtId="0" fontId="15" fillId="0" borderId="0" xfId="0" applyFont="1"/>
    <xf numFmtId="169" fontId="15" fillId="0" borderId="0" xfId="0" applyNumberFormat="1" applyFont="1" applyAlignment="1">
      <alignment horizontal="center" vertical="center"/>
    </xf>
    <xf numFmtId="0" fontId="16" fillId="4" borderId="0" xfId="0" applyFont="1" applyFill="1"/>
    <xf numFmtId="0" fontId="15" fillId="4" borderId="0" xfId="0" applyFont="1" applyFill="1"/>
    <xf numFmtId="0" fontId="16" fillId="3" borderId="0" xfId="0" applyFont="1" applyFill="1"/>
    <xf numFmtId="0" fontId="0" fillId="3" borderId="0" xfId="0" applyFill="1"/>
    <xf numFmtId="10" fontId="0" fillId="0" borderId="0" xfId="0" applyNumberFormat="1"/>
    <xf numFmtId="0" fontId="0" fillId="0" borderId="0" xfId="0" applyAlignment="1">
      <alignment horizontal="left" vertical="center" indent="1"/>
    </xf>
    <xf numFmtId="0" fontId="0" fillId="0" borderId="0" xfId="0" applyFont="1" applyAlignment="1">
      <alignment horizontal="left" vertical="center" indent="1"/>
    </xf>
    <xf numFmtId="10" fontId="0" fillId="0" borderId="0" xfId="2" applyNumberFormat="1" applyFont="1"/>
  </cellXfs>
  <cellStyles count="3">
    <cellStyle name="Normal" xfId="0" builtinId="0"/>
    <cellStyle name="Porcentaje" xfId="2" builtinId="5"/>
    <cellStyle name="Puntaje" xfId="1" xr:uid="{42FAF46B-0077-4D76-8F1B-1F071392C388}"/>
  </cellStyles>
  <dxfs count="1">
    <dxf>
      <font>
        <color theme="9" tint="0.7999816888943144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22746</xdr:colOff>
      <xdr:row>0</xdr:row>
      <xdr:rowOff>0</xdr:rowOff>
    </xdr:from>
    <xdr:to>
      <xdr:col>2</xdr:col>
      <xdr:colOff>166241</xdr:colOff>
      <xdr:row>1</xdr:row>
      <xdr:rowOff>141940</xdr:rowOff>
    </xdr:to>
    <xdr:pic>
      <xdr:nvPicPr>
        <xdr:cNvPr id="3" name="image1.jpg">
          <a:extLst>
            <a:ext uri="{FF2B5EF4-FFF2-40B4-BE49-F238E27FC236}">
              <a16:creationId xmlns:a16="http://schemas.microsoft.com/office/drawing/2014/main" id="{31EE1CA0-F6CC-4729-892F-CF7AEB6626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/>
      </xdr:blipFill>
      <xdr:spPr>
        <a:xfrm>
          <a:off x="187657" y="0"/>
          <a:ext cx="1087465" cy="54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231526</xdr:colOff>
      <xdr:row>0</xdr:row>
      <xdr:rowOff>0</xdr:rowOff>
    </xdr:from>
    <xdr:ext cx="4218620" cy="792000"/>
    <xdr:sp macro="" textlink="">
      <xdr:nvSpPr>
        <xdr:cNvPr id="2" name="2 Rectángulo redondeado">
          <a:extLst>
            <a:ext uri="{FF2B5EF4-FFF2-40B4-BE49-F238E27FC236}">
              <a16:creationId xmlns:a16="http://schemas.microsoft.com/office/drawing/2014/main" id="{9F8862A5-C992-4DB8-8563-25D648152102}"/>
            </a:ext>
          </a:extLst>
        </xdr:cNvPr>
        <xdr:cNvSpPr/>
      </xdr:nvSpPr>
      <xdr:spPr>
        <a:xfrm>
          <a:off x="4189377" y="0"/>
          <a:ext cx="4218620" cy="792000"/>
        </a:xfrm>
        <a:prstGeom prst="rect">
          <a:avLst/>
        </a:prstGeom>
        <a:solidFill>
          <a:srgbClr val="E6FAFF"/>
        </a:solidFill>
        <a:ln w="12700">
          <a:solidFill>
            <a:sysClr val="windowText" lastClr="000000"/>
          </a:solidFill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square" rtlCol="0" anchor="ctr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400"/>
            </a:spcAft>
            <a:buClrTx/>
            <a:buSzTx/>
            <a:buFontTx/>
            <a:buNone/>
            <a:tabLst/>
            <a:defRPr/>
          </a:pPr>
          <a:r>
            <a:rPr lang="es-PE" sz="1100" b="1" u="sng" noProof="0">
              <a:solidFill>
                <a:sysClr val="windowText" lastClr="000000"/>
              </a:solidFill>
              <a:effectLst/>
              <a:latin typeface="Calibri (Cuerpo)"/>
              <a:ea typeface="Times New Roman" panose="02020603050405020304" pitchFamily="18" charset="0"/>
              <a:cs typeface="+mn-cs"/>
            </a:rPr>
            <a:t>Parte 2</a:t>
          </a:r>
          <a:r>
            <a:rPr lang="es-PE" sz="1100" b="1" u="none" noProof="0">
              <a:solidFill>
                <a:sysClr val="windowText" lastClr="000000"/>
              </a:solidFill>
              <a:effectLst/>
              <a:latin typeface="Calibri (Cuerpo)"/>
              <a:ea typeface="Times New Roman" panose="02020603050405020304" pitchFamily="18" charset="0"/>
              <a:cs typeface="+mn-cs"/>
            </a:rPr>
            <a:t>: </a:t>
          </a:r>
          <a:r>
            <a:rPr lang="es-MX" sz="1100" b="0">
              <a:solidFill>
                <a:sysClr val="windowText" lastClr="000000"/>
              </a:solidFill>
              <a:effectLst/>
              <a:latin typeface="Calibri (Cuerpo)"/>
              <a:ea typeface="Times New Roman" panose="02020603050405020304" pitchFamily="18" charset="0"/>
              <a:cs typeface="+mn-cs"/>
            </a:rPr>
            <a:t>                                                                                  </a:t>
          </a:r>
        </a:p>
        <a:p>
          <a:pPr eaLnBrk="1" fontAlgn="auto" latinLnBrk="0" hangingPunct="1">
            <a:lnSpc>
              <a:spcPct val="100000"/>
            </a:lnSpc>
            <a:spcBef>
              <a:spcPts val="0"/>
            </a:spcBef>
            <a:spcAft>
              <a:spcPts val="400"/>
            </a:spcAft>
          </a:pPr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empresa </a:t>
          </a:r>
          <a:r>
            <a:rPr lang="es-MX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Delta S.A.</a:t>
          </a:r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comercializa equipos de cómputo y línea blanca. Opera mediante un local principal y ventas online. </a:t>
          </a:r>
          <a:r>
            <a:rPr lang="es-MX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Inició operaciones </a:t>
          </a:r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01/ene/2024 y </a:t>
          </a:r>
          <a:r>
            <a:rPr lang="es-MX" sz="1100" b="0">
              <a:solidFill>
                <a:sysClr val="windowText" lastClr="000000"/>
              </a:solidFill>
              <a:effectLst/>
              <a:latin typeface="Calibri (Cuerpo)"/>
              <a:ea typeface="Times New Roman" panose="02020603050405020304" pitchFamily="18" charset="0"/>
              <a:cs typeface="+mn-cs"/>
            </a:rPr>
            <a:t>cuenta con </a:t>
          </a:r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información al 31/dic/2024:</a:t>
          </a:r>
          <a:endParaRPr lang="es-MX" sz="1100" b="0">
            <a:solidFill>
              <a:sysClr val="windowText" lastClr="000000"/>
            </a:solidFill>
            <a:effectLst/>
            <a:latin typeface="Calibri (Cuerpo)"/>
            <a:ea typeface="Times New Roman" panose="02020603050405020304" pitchFamily="18" charset="0"/>
            <a:cs typeface="+mn-cs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334380</xdr:colOff>
      <xdr:row>0</xdr:row>
      <xdr:rowOff>0</xdr:rowOff>
    </xdr:from>
    <xdr:ext cx="5348938" cy="511790"/>
    <xdr:sp macro="" textlink="">
      <xdr:nvSpPr>
        <xdr:cNvPr id="2" name="2 Rectángulo redondeado">
          <a:extLst>
            <a:ext uri="{FF2B5EF4-FFF2-40B4-BE49-F238E27FC236}">
              <a16:creationId xmlns:a16="http://schemas.microsoft.com/office/drawing/2014/main" id="{CF5CF149-BA09-4592-B951-FA1D233EBD6E}"/>
            </a:ext>
          </a:extLst>
        </xdr:cNvPr>
        <xdr:cNvSpPr/>
      </xdr:nvSpPr>
      <xdr:spPr>
        <a:xfrm>
          <a:off x="1630917" y="0"/>
          <a:ext cx="5348938" cy="511790"/>
        </a:xfrm>
        <a:prstGeom prst="rect">
          <a:avLst/>
        </a:prstGeom>
        <a:solidFill>
          <a:srgbClr val="E6FAFF"/>
        </a:solidFill>
        <a:ln w="12700">
          <a:solidFill>
            <a:sysClr val="windowText" lastClr="000000"/>
          </a:solidFill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square" rtlCol="0" anchor="ctr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ClrTx/>
            <a:buSzTx/>
            <a:buFontTx/>
            <a:buNone/>
            <a:tabLst/>
            <a:defRPr/>
          </a:pPr>
          <a:r>
            <a:rPr lang="es-PE" sz="1100" b="1" u="sng" noProof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Parte 3</a:t>
          </a:r>
          <a:r>
            <a:rPr lang="es-PE" sz="1100" b="1" u="none" noProof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:</a:t>
          </a:r>
          <a:b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</a:b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La empresa </a:t>
          </a:r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TechSol S.A. se </a:t>
          </a: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dedica a la comercialización de </a:t>
          </a:r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accesorios y </a:t>
          </a: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equipos de computación. Realiza ventas presenciales en su local comercial y a través de e-commerce.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334380</xdr:colOff>
      <xdr:row>0</xdr:row>
      <xdr:rowOff>0</xdr:rowOff>
    </xdr:from>
    <xdr:ext cx="5348938" cy="511790"/>
    <xdr:sp macro="" textlink="">
      <xdr:nvSpPr>
        <xdr:cNvPr id="3" name="2 Rectángulo redondeado">
          <a:extLst>
            <a:ext uri="{FF2B5EF4-FFF2-40B4-BE49-F238E27FC236}">
              <a16:creationId xmlns:a16="http://schemas.microsoft.com/office/drawing/2014/main" id="{C43DF15F-6532-4222-9028-29FB1C459283}"/>
            </a:ext>
          </a:extLst>
        </xdr:cNvPr>
        <xdr:cNvSpPr/>
      </xdr:nvSpPr>
      <xdr:spPr>
        <a:xfrm>
          <a:off x="1630917" y="0"/>
          <a:ext cx="5348938" cy="511790"/>
        </a:xfrm>
        <a:prstGeom prst="rect">
          <a:avLst/>
        </a:prstGeom>
        <a:solidFill>
          <a:srgbClr val="E6FAFF"/>
        </a:solidFill>
        <a:ln w="12700">
          <a:solidFill>
            <a:sysClr val="windowText" lastClr="000000"/>
          </a:solidFill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square" rtlCol="0" anchor="ctr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ClrTx/>
            <a:buSzTx/>
            <a:buFontTx/>
            <a:buNone/>
            <a:tabLst/>
            <a:defRPr/>
          </a:pPr>
          <a:r>
            <a:rPr lang="es-PE" sz="1100" b="1" u="sng" noProof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Parte 3</a:t>
          </a:r>
          <a:r>
            <a:rPr lang="es-PE" sz="1100" b="1" u="none" noProof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:</a:t>
          </a:r>
          <a:b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</a:b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La empresa </a:t>
          </a:r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TechSol S.A. se </a:t>
          </a: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dedica a la comercialización de </a:t>
          </a:r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accesorios y </a:t>
          </a: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equipos de computación. Realiza ventas presenciales en su local comercial y a través de e-commerce.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61426</xdr:colOff>
      <xdr:row>0</xdr:row>
      <xdr:rowOff>0</xdr:rowOff>
    </xdr:from>
    <xdr:ext cx="3150673" cy="1233173"/>
    <xdr:sp macro="" textlink="">
      <xdr:nvSpPr>
        <xdr:cNvPr id="2" name="2 Rectángulo redondeado">
          <a:extLst>
            <a:ext uri="{FF2B5EF4-FFF2-40B4-BE49-F238E27FC236}">
              <a16:creationId xmlns:a16="http://schemas.microsoft.com/office/drawing/2014/main" id="{82F8196D-B476-4823-8C52-E8ADC6C85E46}"/>
            </a:ext>
          </a:extLst>
        </xdr:cNvPr>
        <xdr:cNvSpPr/>
      </xdr:nvSpPr>
      <xdr:spPr>
        <a:xfrm>
          <a:off x="4331225" y="0"/>
          <a:ext cx="3150673" cy="1233173"/>
        </a:xfrm>
        <a:prstGeom prst="rect">
          <a:avLst/>
        </a:prstGeom>
        <a:solidFill>
          <a:srgbClr val="E6FAFF"/>
        </a:solidFill>
        <a:ln w="12700">
          <a:solidFill>
            <a:sysClr val="windowText" lastClr="000000"/>
          </a:solidFill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square" rtlCol="0" anchor="ctr">
          <a:noAutofit/>
        </a:bodyPr>
        <a:lstStyle/>
        <a:p>
          <a:pPr marL="0" marR="0" lvl="0" indent="0" defTabSz="914400" eaLnBrk="1" fontAlgn="auto" latinLnBrk="0" hangingPunct="1">
            <a:lnSpc>
              <a:spcPct val="70000"/>
            </a:lnSpc>
            <a:spcBef>
              <a:spcPts val="0"/>
            </a:spcBef>
            <a:spcAft>
              <a:spcPts val="400"/>
            </a:spcAft>
            <a:buClrTx/>
            <a:buSzTx/>
            <a:buFontTx/>
            <a:buNone/>
            <a:tabLst/>
            <a:defRPr/>
          </a:pPr>
          <a:r>
            <a:rPr lang="es-PE" sz="1100" b="1" u="sng" noProof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Parte 5</a:t>
          </a:r>
          <a:r>
            <a:rPr lang="es-PE" sz="1100" b="1" u="none" noProof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:</a:t>
          </a:r>
          <a:endParaRPr lang="es-MX" sz="1100" b="0">
            <a:solidFill>
              <a:sysClr val="windowText" lastClr="000000"/>
            </a:solidFill>
            <a:effectLst/>
            <a:latin typeface="+mn-lt"/>
            <a:ea typeface="Times New Roman" panose="02020603050405020304" pitchFamily="18" charset="0"/>
            <a:cs typeface="+mn-cs"/>
          </a:endParaRPr>
        </a:p>
        <a:p>
          <a:pPr algn="l" eaLnBrk="1" fontAlgn="auto" latinLnBrk="0" hangingPunct="1">
            <a:lnSpc>
              <a:spcPct val="70000"/>
            </a:lnSpc>
            <a:spcBef>
              <a:spcPts val="0"/>
            </a:spcBef>
            <a:spcAft>
              <a:spcPts val="400"/>
            </a:spcAft>
          </a:pP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El Sr. Martínez tiene S/ 30,000 y evalúa dos alternativas de inversión a 5 años:</a:t>
          </a:r>
        </a:p>
        <a:p>
          <a:pPr marL="108000" indent="-108000" algn="l" eaLnBrk="1" fontAlgn="auto" latinLnBrk="0" hangingPunct="1">
            <a:lnSpc>
              <a:spcPct val="70000"/>
            </a:lnSpc>
            <a:spcBef>
              <a:spcPts val="0"/>
            </a:spcBef>
            <a:spcAft>
              <a:spcPts val="400"/>
            </a:spcAft>
          </a:pP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-	</a:t>
          </a:r>
          <a:r>
            <a:rPr lang="es-MX" sz="1100" b="1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Alternativa A</a:t>
          </a: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: Depósito a plazo fijo. Tasa nominal </a:t>
          </a:r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anual de</a:t>
          </a: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 14% con capitalización mensual.</a:t>
          </a:r>
        </a:p>
        <a:p>
          <a:pPr marL="108000" indent="-108000" algn="l" eaLnBrk="1" fontAlgn="auto" latinLnBrk="0" hangingPunct="1">
            <a:lnSpc>
              <a:spcPct val="70000"/>
            </a:lnSpc>
            <a:spcBef>
              <a:spcPts val="0"/>
            </a:spcBef>
            <a:spcAft>
              <a:spcPts val="400"/>
            </a:spcAft>
          </a:pP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-	</a:t>
          </a:r>
          <a:r>
            <a:rPr lang="es-MX" sz="1100" b="1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Alternativa B</a:t>
          </a: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: Fondo de inversión. Tasa efectiva trimestral de 3.6%.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18"/>
  <sheetViews>
    <sheetView zoomScale="120" zoomScaleNormal="120" workbookViewId="0">
      <selection activeCell="E7" sqref="E7"/>
    </sheetView>
  </sheetViews>
  <sheetFormatPr baseColWidth="10" defaultColWidth="8.77734375" defaultRowHeight="14.4" x14ac:dyDescent="0.3"/>
  <cols>
    <col min="1" max="1" width="2.44140625" customWidth="1"/>
    <col min="2" max="2" width="13.77734375" customWidth="1"/>
    <col min="3" max="3" width="8.77734375" customWidth="1"/>
    <col min="4" max="4" width="45.5546875" customWidth="1"/>
    <col min="5" max="6" width="20.77734375" customWidth="1"/>
    <col min="7" max="7" width="13.77734375" customWidth="1"/>
  </cols>
  <sheetData>
    <row r="1" spans="1:7" ht="31.2" x14ac:dyDescent="0.3">
      <c r="A1" s="1"/>
      <c r="B1" s="1"/>
      <c r="C1" s="1"/>
      <c r="D1" s="51" t="s">
        <v>30</v>
      </c>
      <c r="E1" s="1"/>
      <c r="F1" s="1"/>
      <c r="G1" s="25" t="s">
        <v>6</v>
      </c>
    </row>
    <row r="2" spans="1:7" ht="14.55" thickBot="1" x14ac:dyDescent="0.35">
      <c r="A2" s="1"/>
      <c r="B2" s="2"/>
      <c r="C2" s="2"/>
      <c r="D2" s="2"/>
      <c r="E2" s="2"/>
      <c r="F2" s="2"/>
      <c r="G2" s="3" t="s">
        <v>25</v>
      </c>
    </row>
    <row r="3" spans="1:7" ht="14.55" thickTop="1" x14ac:dyDescent="0.3">
      <c r="A3" s="1"/>
      <c r="B3" s="1"/>
      <c r="C3" s="4"/>
      <c r="D3" s="4"/>
      <c r="E3" s="4"/>
      <c r="F3" s="4"/>
      <c r="G3" s="4"/>
    </row>
    <row r="4" spans="1:7" x14ac:dyDescent="0.3">
      <c r="A4" s="1"/>
      <c r="B4" s="5" t="s">
        <v>0</v>
      </c>
      <c r="C4" s="6" t="s">
        <v>13</v>
      </c>
      <c r="D4" s="1"/>
      <c r="E4" s="1"/>
      <c r="F4" s="4"/>
      <c r="G4" s="7"/>
    </row>
    <row r="5" spans="1:7" x14ac:dyDescent="0.3">
      <c r="A5" s="1"/>
      <c r="B5" s="1"/>
      <c r="C5" s="6" t="s">
        <v>26</v>
      </c>
      <c r="D5" s="1"/>
      <c r="E5" s="1"/>
      <c r="F5" s="1"/>
    </row>
    <row r="6" spans="1:7" x14ac:dyDescent="0.3">
      <c r="A6" s="1"/>
      <c r="B6" s="1"/>
      <c r="C6" s="35" t="s">
        <v>27</v>
      </c>
      <c r="D6" s="1"/>
      <c r="E6" s="1"/>
      <c r="F6" s="1"/>
      <c r="G6" s="4"/>
    </row>
    <row r="7" spans="1:7" x14ac:dyDescent="0.3">
      <c r="A7" s="1"/>
      <c r="B7" s="1"/>
      <c r="C7" s="35" t="s">
        <v>28</v>
      </c>
      <c r="D7" s="1"/>
      <c r="E7" s="1"/>
      <c r="F7" s="1"/>
      <c r="G7" s="4"/>
    </row>
    <row r="8" spans="1:7" ht="13.95" x14ac:dyDescent="0.3">
      <c r="A8" s="1"/>
      <c r="B8" s="1"/>
      <c r="C8" s="35" t="s">
        <v>29</v>
      </c>
      <c r="D8" s="1"/>
      <c r="E8" s="1"/>
      <c r="F8" s="1"/>
      <c r="G8" s="4"/>
    </row>
    <row r="9" spans="1:7" x14ac:dyDescent="0.3">
      <c r="A9" s="1"/>
      <c r="B9" s="1"/>
      <c r="C9" s="35" t="s">
        <v>7</v>
      </c>
      <c r="D9" s="1"/>
      <c r="E9" s="1"/>
      <c r="F9" s="1"/>
      <c r="G9" s="4"/>
    </row>
    <row r="10" spans="1:7" ht="13.95" x14ac:dyDescent="0.3">
      <c r="A10" s="1"/>
      <c r="B10" s="1"/>
      <c r="C10" s="1"/>
      <c r="D10" s="1"/>
      <c r="E10" s="1"/>
      <c r="F10" s="1"/>
      <c r="G10" s="4"/>
    </row>
    <row r="11" spans="1:7" ht="18" customHeight="1" x14ac:dyDescent="0.3">
      <c r="A11" s="1"/>
      <c r="B11" s="4" t="s">
        <v>1</v>
      </c>
      <c r="C11" s="8" t="s">
        <v>2</v>
      </c>
      <c r="D11" s="8" t="s">
        <v>3</v>
      </c>
      <c r="E11" s="8" t="s">
        <v>4</v>
      </c>
      <c r="F11" s="8" t="s">
        <v>5</v>
      </c>
      <c r="G11" s="4"/>
    </row>
    <row r="12" spans="1:7" ht="18" customHeight="1" x14ac:dyDescent="0.3">
      <c r="A12" s="1"/>
      <c r="B12" s="1"/>
      <c r="C12" s="9" t="s">
        <v>14</v>
      </c>
      <c r="D12" s="10" t="str">
        <f>'Parte 1'!B1</f>
        <v>Preguntas de teoría</v>
      </c>
      <c r="E12" s="11">
        <v>5</v>
      </c>
      <c r="F12" s="12">
        <f>'Parte 1'!A1</f>
        <v>0</v>
      </c>
      <c r="G12" s="4"/>
    </row>
    <row r="13" spans="1:7" ht="18" customHeight="1" x14ac:dyDescent="0.3">
      <c r="A13" s="1"/>
      <c r="B13" s="1"/>
      <c r="C13" s="13" t="s">
        <v>15</v>
      </c>
      <c r="D13" s="14" t="str">
        <f>'Parte 2'!B1</f>
        <v>Estado de flujo de efectivo</v>
      </c>
      <c r="E13" s="15">
        <v>4</v>
      </c>
      <c r="F13" s="16">
        <f>'Parte 2'!A1</f>
        <v>0</v>
      </c>
      <c r="G13" s="4"/>
    </row>
    <row r="14" spans="1:7" ht="18" customHeight="1" x14ac:dyDescent="0.3">
      <c r="A14" s="1"/>
      <c r="B14" s="1"/>
      <c r="C14" s="17" t="s">
        <v>16</v>
      </c>
      <c r="D14" s="18" t="str">
        <f>'Parte 3'!B1</f>
        <v>Ratios</v>
      </c>
      <c r="E14" s="19">
        <v>4</v>
      </c>
      <c r="F14" s="20">
        <f>'Parte 3'!A1</f>
        <v>0</v>
      </c>
      <c r="G14" s="4"/>
    </row>
    <row r="15" spans="1:7" ht="18" customHeight="1" x14ac:dyDescent="0.3">
      <c r="A15" s="1"/>
      <c r="B15" s="1"/>
      <c r="C15" s="13" t="s">
        <v>15</v>
      </c>
      <c r="D15" s="14" t="str">
        <f>'Parte 4'!B1</f>
        <v>Tendencias</v>
      </c>
      <c r="E15" s="15">
        <v>2</v>
      </c>
      <c r="F15" s="16">
        <f>'Parte 4'!A1</f>
        <v>0</v>
      </c>
      <c r="G15" s="4"/>
    </row>
    <row r="16" spans="1:7" ht="18" customHeight="1" x14ac:dyDescent="0.3">
      <c r="A16" s="1"/>
      <c r="B16" s="1"/>
      <c r="C16" s="17" t="s">
        <v>16</v>
      </c>
      <c r="D16" s="18" t="str">
        <f>'Parte 5'!B1</f>
        <v>Tasas de interés</v>
      </c>
      <c r="E16" s="19">
        <v>5</v>
      </c>
      <c r="F16" s="20">
        <f>'Parte 5'!A1</f>
        <v>0</v>
      </c>
      <c r="G16" s="4"/>
    </row>
    <row r="17" spans="3:7" ht="13.95" x14ac:dyDescent="0.3">
      <c r="C17" s="1"/>
      <c r="D17" s="1"/>
      <c r="E17" s="21"/>
      <c r="F17" s="22"/>
    </row>
    <row r="18" spans="3:7" ht="13.95" x14ac:dyDescent="0.3">
      <c r="C18" s="1"/>
      <c r="D18" s="1"/>
      <c r="E18" s="23" t="str">
        <f>IF(SUM(E12:E16)=20,"Nota",IF(SUM(E12:E16)&gt;20,"Excede en "&amp;SUM(E12:E16)-20,"Falta "&amp;20-SUM(E12:E16)))</f>
        <v>Nota</v>
      </c>
      <c r="F18" s="24">
        <f>ROUND(SUM(F12:F16),0)</f>
        <v>0</v>
      </c>
      <c r="G18" t="s">
        <v>12</v>
      </c>
    </row>
  </sheetData>
  <phoneticPr fontId="6" type="noConversion"/>
  <conditionalFormatting sqref="F18">
    <cfRule type="cellIs" dxfId="0" priority="1" operator="equal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E44A9-9B26-4F0E-A3F1-FB7601B4FE4B}">
  <sheetPr codeName="Hoja2"/>
  <dimension ref="A1:M63"/>
  <sheetViews>
    <sheetView zoomScale="120" zoomScaleNormal="120" workbookViewId="0">
      <selection activeCell="A4" sqref="A4"/>
    </sheetView>
  </sheetViews>
  <sheetFormatPr baseColWidth="10" defaultRowHeight="14.4" x14ac:dyDescent="0.3"/>
  <cols>
    <col min="1" max="1" width="4.6640625" style="45" customWidth="1"/>
    <col min="2" max="2" width="4.77734375" customWidth="1"/>
    <col min="3" max="3" width="11.77734375" style="40" customWidth="1"/>
    <col min="6" max="7" width="11.5546875" customWidth="1"/>
  </cols>
  <sheetData>
    <row r="1" spans="1:13" s="27" customFormat="1" ht="24" thickBot="1" x14ac:dyDescent="0.35">
      <c r="A1" s="33">
        <f>IF(Indicaciones!G18="","",SUM(A4:A13))</f>
        <v>0</v>
      </c>
      <c r="B1" s="26" t="s">
        <v>17</v>
      </c>
      <c r="C1" s="38"/>
      <c r="L1" s="28"/>
      <c r="M1" s="28"/>
    </row>
    <row r="2" spans="1:13" s="30" customFormat="1" ht="14.55" thickTop="1" x14ac:dyDescent="0.3">
      <c r="A2" s="42"/>
      <c r="C2" s="39"/>
      <c r="L2" s="29"/>
      <c r="M2" s="29"/>
    </row>
    <row r="3" spans="1:13" ht="13.95" x14ac:dyDescent="0.3">
      <c r="A3" s="43"/>
    </row>
    <row r="4" spans="1:13" x14ac:dyDescent="0.3">
      <c r="A4" s="46"/>
      <c r="B4" s="41" t="s">
        <v>20</v>
      </c>
    </row>
    <row r="5" spans="1:13" ht="13.95" x14ac:dyDescent="0.3">
      <c r="A5"/>
      <c r="C5"/>
    </row>
    <row r="6" spans="1:13" ht="13.95" x14ac:dyDescent="0.3">
      <c r="A6"/>
      <c r="C6"/>
    </row>
    <row r="7" spans="1:13" ht="13.95" x14ac:dyDescent="0.3">
      <c r="A7"/>
      <c r="C7"/>
    </row>
    <row r="8" spans="1:13" ht="13.95" x14ac:dyDescent="0.3">
      <c r="A8"/>
      <c r="C8"/>
    </row>
    <row r="9" spans="1:13" ht="13.95" x14ac:dyDescent="0.3">
      <c r="A9"/>
      <c r="C9"/>
    </row>
    <row r="10" spans="1:13" ht="13.95" x14ac:dyDescent="0.3">
      <c r="A10"/>
      <c r="C10"/>
    </row>
    <row r="11" spans="1:13" ht="13.95" x14ac:dyDescent="0.3">
      <c r="A11"/>
      <c r="C11"/>
    </row>
    <row r="12" spans="1:13" ht="13.95" x14ac:dyDescent="0.3">
      <c r="A12"/>
      <c r="C12"/>
    </row>
    <row r="13" spans="1:13" ht="13.95" x14ac:dyDescent="0.3">
      <c r="A13"/>
      <c r="C13"/>
    </row>
    <row r="14" spans="1:13" ht="13.95" x14ac:dyDescent="0.3">
      <c r="A14"/>
      <c r="C14"/>
    </row>
    <row r="15" spans="1:13" ht="13.95" x14ac:dyDescent="0.3">
      <c r="A15"/>
      <c r="C15"/>
    </row>
    <row r="16" spans="1:13" ht="13.95" x14ac:dyDescent="0.3">
      <c r="A16"/>
      <c r="C16"/>
    </row>
    <row r="17" spans="1:3" ht="13.95" x14ac:dyDescent="0.3">
      <c r="A17"/>
      <c r="C17"/>
    </row>
    <row r="18" spans="1:3" ht="13.95" x14ac:dyDescent="0.3">
      <c r="A18"/>
      <c r="C18"/>
    </row>
    <row r="19" spans="1:3" ht="13.95" x14ac:dyDescent="0.3">
      <c r="A19"/>
      <c r="C19"/>
    </row>
    <row r="20" spans="1:3" ht="13.95" x14ac:dyDescent="0.3">
      <c r="A20"/>
      <c r="C20"/>
    </row>
    <row r="21" spans="1:3" ht="13.95" x14ac:dyDescent="0.3">
      <c r="A21"/>
      <c r="C21"/>
    </row>
    <row r="22" spans="1:3" ht="13.95" x14ac:dyDescent="0.3">
      <c r="A22"/>
      <c r="C22"/>
    </row>
    <row r="23" spans="1:3" ht="13.95" x14ac:dyDescent="0.3">
      <c r="A23"/>
      <c r="C23"/>
    </row>
    <row r="24" spans="1:3" x14ac:dyDescent="0.3">
      <c r="A24"/>
      <c r="C24"/>
    </row>
    <row r="25" spans="1:3" x14ac:dyDescent="0.3">
      <c r="A25"/>
      <c r="C25"/>
    </row>
    <row r="26" spans="1:3" x14ac:dyDescent="0.3">
      <c r="A26"/>
      <c r="C26"/>
    </row>
    <row r="27" spans="1:3" x14ac:dyDescent="0.3">
      <c r="A27"/>
      <c r="C27"/>
    </row>
    <row r="28" spans="1:3" x14ac:dyDescent="0.3">
      <c r="A28"/>
      <c r="C28"/>
    </row>
    <row r="29" spans="1:3" x14ac:dyDescent="0.3">
      <c r="A29"/>
      <c r="C29"/>
    </row>
    <row r="30" spans="1:3" x14ac:dyDescent="0.3">
      <c r="A30"/>
      <c r="C30"/>
    </row>
    <row r="31" spans="1:3" x14ac:dyDescent="0.3">
      <c r="A31"/>
      <c r="C31"/>
    </row>
    <row r="32" spans="1:3" x14ac:dyDescent="0.3">
      <c r="A32"/>
      <c r="C32"/>
    </row>
    <row r="33" spans="1:3" x14ac:dyDescent="0.3">
      <c r="A33"/>
      <c r="C33"/>
    </row>
    <row r="34" spans="1:3" x14ac:dyDescent="0.3">
      <c r="A34"/>
      <c r="C34"/>
    </row>
    <row r="35" spans="1:3" x14ac:dyDescent="0.3">
      <c r="A35"/>
      <c r="C35"/>
    </row>
    <row r="36" spans="1:3" x14ac:dyDescent="0.3">
      <c r="A36"/>
      <c r="C36"/>
    </row>
    <row r="37" spans="1:3" x14ac:dyDescent="0.3">
      <c r="A37"/>
      <c r="C37"/>
    </row>
    <row r="38" spans="1:3" x14ac:dyDescent="0.3">
      <c r="A38"/>
      <c r="C38"/>
    </row>
    <row r="39" spans="1:3" x14ac:dyDescent="0.3">
      <c r="A39"/>
      <c r="C39"/>
    </row>
    <row r="40" spans="1:3" x14ac:dyDescent="0.3">
      <c r="A40"/>
      <c r="C40"/>
    </row>
    <row r="41" spans="1:3" x14ac:dyDescent="0.3">
      <c r="A41"/>
      <c r="C41"/>
    </row>
    <row r="42" spans="1:3" x14ac:dyDescent="0.3">
      <c r="A42"/>
      <c r="C42"/>
    </row>
    <row r="43" spans="1:3" x14ac:dyDescent="0.3">
      <c r="A43"/>
      <c r="C43"/>
    </row>
    <row r="44" spans="1:3" x14ac:dyDescent="0.3">
      <c r="A44"/>
      <c r="C44"/>
    </row>
    <row r="45" spans="1:3" x14ac:dyDescent="0.3">
      <c r="A45"/>
      <c r="C45"/>
    </row>
    <row r="46" spans="1:3" x14ac:dyDescent="0.3">
      <c r="A46"/>
      <c r="C46"/>
    </row>
    <row r="47" spans="1:3" x14ac:dyDescent="0.3">
      <c r="A47"/>
      <c r="C47"/>
    </row>
    <row r="48" spans="1:3" x14ac:dyDescent="0.3">
      <c r="A48"/>
      <c r="C48"/>
    </row>
    <row r="49" spans="1:3" x14ac:dyDescent="0.3">
      <c r="A49"/>
      <c r="C49"/>
    </row>
    <row r="50" spans="1:3" x14ac:dyDescent="0.3">
      <c r="A50"/>
      <c r="C50"/>
    </row>
    <row r="51" spans="1:3" x14ac:dyDescent="0.3">
      <c r="A51"/>
      <c r="C51"/>
    </row>
    <row r="52" spans="1:3" x14ac:dyDescent="0.3">
      <c r="A52"/>
      <c r="C52"/>
    </row>
    <row r="53" spans="1:3" x14ac:dyDescent="0.3">
      <c r="A53"/>
      <c r="C53"/>
    </row>
    <row r="54" spans="1:3" x14ac:dyDescent="0.3">
      <c r="A54"/>
      <c r="C54"/>
    </row>
    <row r="59" spans="1:3" x14ac:dyDescent="0.3">
      <c r="A59" s="44"/>
      <c r="B59" s="36"/>
    </row>
    <row r="60" spans="1:3" x14ac:dyDescent="0.3">
      <c r="A60" s="44"/>
      <c r="B60" s="36"/>
    </row>
    <row r="61" spans="1:3" x14ac:dyDescent="0.3">
      <c r="A61" s="44"/>
      <c r="B61" s="36"/>
    </row>
    <row r="62" spans="1:3" x14ac:dyDescent="0.3">
      <c r="A62" s="44"/>
      <c r="B62" s="36"/>
    </row>
    <row r="63" spans="1:3" x14ac:dyDescent="0.3">
      <c r="A63" s="44"/>
      <c r="B63" s="36"/>
    </row>
  </sheetData>
  <sortState xmlns:xlrd2="http://schemas.microsoft.com/office/spreadsheetml/2017/richdata2" ref="D34:D36">
    <sortCondition ref="D33:D36"/>
  </sortState>
  <phoneticPr fontId="6" type="noConversion"/>
  <pageMargins left="0.39370078740157483" right="0.39370078740157483" top="0.39370078740157483" bottom="0.39370078740157483" header="0.31496062992125984" footer="0.31496062992125984"/>
  <pageSetup paperSize="9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10836-1CA9-4CB2-B92A-8F1EC0418F91}">
  <sheetPr codeName="Hoja3"/>
  <dimension ref="A1:AD60"/>
  <sheetViews>
    <sheetView topLeftCell="A15" zoomScale="120" zoomScaleNormal="120" workbookViewId="0">
      <selection activeCell="J12" sqref="J12"/>
    </sheetView>
  </sheetViews>
  <sheetFormatPr baseColWidth="10" defaultColWidth="11.44140625" defaultRowHeight="14.4" x14ac:dyDescent="0.3"/>
  <cols>
    <col min="1" max="1" width="4.6640625" style="31" customWidth="1"/>
    <col min="2" max="2" width="4.33203125" style="32" customWidth="1"/>
    <col min="3" max="3" width="11.44140625" style="32" customWidth="1"/>
    <col min="4" max="4" width="14.6640625" style="32" customWidth="1"/>
    <col min="5" max="6" width="11.44140625" style="32"/>
    <col min="7" max="7" width="3.44140625" style="32" customWidth="1"/>
    <col min="8" max="16384" width="11.44140625" style="32"/>
  </cols>
  <sheetData>
    <row r="1" spans="1:30" s="27" customFormat="1" ht="24.15" thickBot="1" x14ac:dyDescent="0.35">
      <c r="A1" s="33">
        <f>SUM(A17:A27)</f>
        <v>0</v>
      </c>
      <c r="B1" s="26" t="s">
        <v>21</v>
      </c>
    </row>
    <row r="2" spans="1:30" s="30" customFormat="1" ht="14.55" thickTop="1" x14ac:dyDescent="0.3">
      <c r="A2" s="34"/>
      <c r="H2" s="32"/>
    </row>
    <row r="3" spans="1:30" s="30" customFormat="1" ht="13.95" x14ac:dyDescent="0.3">
      <c r="A3" s="34"/>
      <c r="B3" s="59" t="s">
        <v>47</v>
      </c>
      <c r="H3" s="32"/>
    </row>
    <row r="4" spans="1:30" ht="13.95" x14ac:dyDescent="0.3">
      <c r="B4" s="32" t="s">
        <v>41</v>
      </c>
      <c r="F4" s="52">
        <v>120000</v>
      </c>
    </row>
    <row r="5" spans="1:30" x14ac:dyDescent="0.3">
      <c r="B5" s="32" t="s">
        <v>39</v>
      </c>
      <c r="F5" s="52">
        <v>25000</v>
      </c>
    </row>
    <row r="6" spans="1:30" x14ac:dyDescent="0.3">
      <c r="B6" s="32" t="s">
        <v>42</v>
      </c>
      <c r="F6" s="52">
        <v>5000</v>
      </c>
    </row>
    <row r="7" spans="1:30" x14ac:dyDescent="0.3">
      <c r="B7" s="32" t="s">
        <v>43</v>
      </c>
      <c r="F7" s="52">
        <v>15000</v>
      </c>
    </row>
    <row r="8" spans="1:30" x14ac:dyDescent="0.3">
      <c r="B8" s="32" t="s">
        <v>34</v>
      </c>
      <c r="F8" s="52">
        <v>8000</v>
      </c>
    </row>
    <row r="9" spans="1:30" x14ac:dyDescent="0.3">
      <c r="B9" s="32" t="s">
        <v>44</v>
      </c>
      <c r="F9" s="52">
        <v>12000</v>
      </c>
      <c r="G9"/>
    </row>
    <row r="10" spans="1:30" x14ac:dyDescent="0.3">
      <c r="A10"/>
      <c r="B10" s="32" t="s">
        <v>45</v>
      </c>
      <c r="D10"/>
      <c r="E10"/>
      <c r="F10" s="53">
        <v>4000</v>
      </c>
      <c r="G10"/>
    </row>
    <row r="11" spans="1:30" x14ac:dyDescent="0.3">
      <c r="A11"/>
      <c r="B11" s="32" t="s">
        <v>35</v>
      </c>
      <c r="D11"/>
      <c r="E11"/>
      <c r="F11" s="53">
        <v>180000</v>
      </c>
      <c r="G11"/>
    </row>
    <row r="12" spans="1:30" x14ac:dyDescent="0.3">
      <c r="A12"/>
      <c r="B12" s="32" t="s">
        <v>36</v>
      </c>
      <c r="D12"/>
      <c r="E12"/>
      <c r="F12" s="53">
        <v>25000</v>
      </c>
      <c r="G12"/>
    </row>
    <row r="13" spans="1:30" x14ac:dyDescent="0.3">
      <c r="A13"/>
      <c r="B13" t="s">
        <v>37</v>
      </c>
      <c r="D13"/>
      <c r="E13"/>
      <c r="F13" s="53">
        <v>150000</v>
      </c>
      <c r="G13"/>
    </row>
    <row r="14" spans="1:30" customFormat="1" x14ac:dyDescent="0.3">
      <c r="B14" s="32" t="s">
        <v>38</v>
      </c>
      <c r="C14" s="32"/>
      <c r="F14" s="53">
        <v>40000</v>
      </c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 spans="1:30" x14ac:dyDescent="0.3">
      <c r="A15"/>
      <c r="B15" s="32" t="s">
        <v>46</v>
      </c>
      <c r="D15"/>
      <c r="E15"/>
      <c r="F15" s="53">
        <v>30000</v>
      </c>
      <c r="G15"/>
    </row>
    <row r="16" spans="1:30" x14ac:dyDescent="0.3">
      <c r="A16"/>
      <c r="B16"/>
      <c r="C16"/>
      <c r="D16"/>
      <c r="E16"/>
      <c r="F16"/>
      <c r="G16"/>
    </row>
    <row r="17" spans="1:30" x14ac:dyDescent="0.3">
      <c r="A17" s="46"/>
      <c r="B17" s="36" t="s">
        <v>8</v>
      </c>
      <c r="C17" s="47">
        <v>0.5</v>
      </c>
      <c r="D17" s="32" t="s">
        <v>31</v>
      </c>
      <c r="G17"/>
      <c r="I17" s="32" t="s">
        <v>115</v>
      </c>
    </row>
    <row r="18" spans="1:30" x14ac:dyDescent="0.3">
      <c r="A18" s="46"/>
      <c r="C18" s="47">
        <v>0.5</v>
      </c>
      <c r="D18" s="32" t="s">
        <v>18</v>
      </c>
      <c r="G18"/>
      <c r="I18" s="52">
        <f>F4+F5+F6-F7+F8+F9-F10</f>
        <v>151000</v>
      </c>
    </row>
    <row r="19" spans="1:30" x14ac:dyDescent="0.3">
      <c r="A19" s="46"/>
      <c r="C19" s="47"/>
      <c r="G19"/>
      <c r="I19" s="32" t="s">
        <v>116</v>
      </c>
    </row>
    <row r="20" spans="1:30" x14ac:dyDescent="0.3">
      <c r="A20" s="46"/>
      <c r="B20" s="36" t="s">
        <v>9</v>
      </c>
      <c r="C20" s="47">
        <v>0.5</v>
      </c>
      <c r="D20" s="32" t="s">
        <v>32</v>
      </c>
      <c r="G20"/>
      <c r="I20" t="s">
        <v>117</v>
      </c>
    </row>
    <row r="21" spans="1:30" x14ac:dyDescent="0.3">
      <c r="A21" s="46"/>
      <c r="C21" s="47">
        <v>0.5</v>
      </c>
      <c r="D21" s="32" t="s">
        <v>18</v>
      </c>
      <c r="G21"/>
    </row>
    <row r="22" spans="1:30" x14ac:dyDescent="0.3">
      <c r="A22" s="46"/>
      <c r="C22" s="47"/>
      <c r="G22"/>
      <c r="I22" s="32" t="s">
        <v>118</v>
      </c>
    </row>
    <row r="23" spans="1:30" x14ac:dyDescent="0.3">
      <c r="A23" s="46"/>
      <c r="B23" s="36" t="s">
        <v>10</v>
      </c>
      <c r="C23" s="47">
        <v>0.5</v>
      </c>
      <c r="D23" s="32" t="s">
        <v>33</v>
      </c>
      <c r="G23"/>
      <c r="I23" s="52">
        <f>-F11-F12</f>
        <v>-205000</v>
      </c>
      <c r="O23"/>
      <c r="P23"/>
    </row>
    <row r="24" spans="1:30" x14ac:dyDescent="0.3">
      <c r="A24" s="46"/>
      <c r="C24" s="47">
        <v>0.5</v>
      </c>
      <c r="D24" s="32" t="s">
        <v>18</v>
      </c>
      <c r="F24"/>
      <c r="G24"/>
      <c r="I24" s="32" t="s">
        <v>116</v>
      </c>
    </row>
    <row r="25" spans="1:30" x14ac:dyDescent="0.3">
      <c r="A25" s="46"/>
      <c r="C25" s="47"/>
      <c r="E25"/>
      <c r="F25"/>
      <c r="G25"/>
      <c r="I25" t="s">
        <v>119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 spans="1:30" x14ac:dyDescent="0.3">
      <c r="A26" s="46"/>
      <c r="B26" s="36" t="s">
        <v>11</v>
      </c>
      <c r="C26" s="47">
        <v>0.5</v>
      </c>
      <c r="D26" s="32" t="s">
        <v>104</v>
      </c>
      <c r="E26"/>
      <c r="F26"/>
      <c r="G26"/>
    </row>
    <row r="27" spans="1:30" x14ac:dyDescent="0.3">
      <c r="A27" s="46"/>
      <c r="B27"/>
      <c r="C27" s="47">
        <v>0.5</v>
      </c>
      <c r="D27" s="32" t="s">
        <v>18</v>
      </c>
      <c r="E27"/>
      <c r="F27"/>
      <c r="G27"/>
    </row>
    <row r="28" spans="1:30" x14ac:dyDescent="0.3">
      <c r="A28"/>
      <c r="B28"/>
      <c r="C28"/>
      <c r="D28"/>
      <c r="E28"/>
      <c r="F28"/>
      <c r="G28"/>
      <c r="I28" s="32" t="s">
        <v>120</v>
      </c>
    </row>
    <row r="29" spans="1:30" x14ac:dyDescent="0.3">
      <c r="A29"/>
      <c r="B29"/>
      <c r="C29"/>
      <c r="D29"/>
      <c r="E29"/>
      <c r="F29"/>
      <c r="G29"/>
      <c r="I29" s="52">
        <f>F13-F14-F15</f>
        <v>80000</v>
      </c>
    </row>
    <row r="30" spans="1:30" x14ac:dyDescent="0.3">
      <c r="A30"/>
      <c r="B30"/>
      <c r="C30"/>
      <c r="D30"/>
      <c r="E30"/>
      <c r="F30"/>
      <c r="G30"/>
      <c r="I30" t="s">
        <v>116</v>
      </c>
    </row>
    <row r="31" spans="1:30" x14ac:dyDescent="0.3">
      <c r="A31"/>
      <c r="B31"/>
      <c r="C31"/>
      <c r="D31"/>
      <c r="E31"/>
      <c r="F31"/>
      <c r="G31"/>
      <c r="I31" s="32" t="s">
        <v>121</v>
      </c>
    </row>
    <row r="32" spans="1:30" x14ac:dyDescent="0.3">
      <c r="A32"/>
      <c r="B32"/>
      <c r="C32"/>
      <c r="D32"/>
      <c r="E32"/>
      <c r="F32"/>
      <c r="G32"/>
    </row>
    <row r="33" spans="1:9" x14ac:dyDescent="0.3">
      <c r="A33"/>
      <c r="B33"/>
      <c r="C33"/>
      <c r="D33"/>
      <c r="E33"/>
      <c r="F33"/>
      <c r="G33"/>
      <c r="I33" s="32" t="s">
        <v>122</v>
      </c>
    </row>
    <row r="34" spans="1:9" x14ac:dyDescent="0.3">
      <c r="A34"/>
      <c r="B34"/>
      <c r="C34"/>
      <c r="D34"/>
      <c r="E34"/>
      <c r="F34"/>
      <c r="G34"/>
      <c r="I34" s="52">
        <f>I18+I23+I29</f>
        <v>26000</v>
      </c>
    </row>
    <row r="35" spans="1:9" x14ac:dyDescent="0.3">
      <c r="A35"/>
      <c r="B35"/>
      <c r="C35"/>
      <c r="D35"/>
      <c r="E35"/>
      <c r="F35"/>
      <c r="G35"/>
      <c r="I35" s="32" t="s">
        <v>116</v>
      </c>
    </row>
    <row r="36" spans="1:9" x14ac:dyDescent="0.3">
      <c r="A36"/>
      <c r="B36"/>
      <c r="C36"/>
      <c r="D36"/>
      <c r="E36"/>
      <c r="F36"/>
      <c r="G36"/>
      <c r="I36" t="s">
        <v>123</v>
      </c>
    </row>
    <row r="37" spans="1:9" x14ac:dyDescent="0.3">
      <c r="A37"/>
      <c r="B37"/>
      <c r="C37"/>
      <c r="D37"/>
      <c r="E37"/>
      <c r="F37"/>
      <c r="G37"/>
    </row>
    <row r="38" spans="1:9" x14ac:dyDescent="0.3">
      <c r="A38"/>
      <c r="B38"/>
      <c r="C38"/>
      <c r="D38"/>
      <c r="E38"/>
      <c r="F38"/>
      <c r="G38"/>
    </row>
    <row r="39" spans="1:9" x14ac:dyDescent="0.3">
      <c r="A39"/>
      <c r="B39"/>
      <c r="C39"/>
      <c r="D39"/>
      <c r="E39"/>
      <c r="F39"/>
      <c r="G39"/>
    </row>
    <row r="40" spans="1:9" x14ac:dyDescent="0.3">
      <c r="A40"/>
      <c r="B40"/>
      <c r="C40"/>
      <c r="D40"/>
      <c r="E40"/>
      <c r="F40"/>
      <c r="G40"/>
    </row>
    <row r="41" spans="1:9" x14ac:dyDescent="0.3">
      <c r="A41"/>
      <c r="B41"/>
      <c r="C41"/>
      <c r="D41"/>
      <c r="E41"/>
      <c r="F41"/>
      <c r="G41"/>
    </row>
    <row r="42" spans="1:9" x14ac:dyDescent="0.3">
      <c r="A42"/>
      <c r="B42"/>
      <c r="C42"/>
      <c r="D42"/>
      <c r="E42"/>
      <c r="F42"/>
      <c r="G42"/>
    </row>
    <row r="43" spans="1:9" x14ac:dyDescent="0.3">
      <c r="A43"/>
      <c r="B43"/>
      <c r="C43"/>
      <c r="D43"/>
      <c r="E43"/>
      <c r="F43"/>
      <c r="G43"/>
    </row>
    <row r="44" spans="1:9" x14ac:dyDescent="0.3">
      <c r="A44"/>
      <c r="B44"/>
      <c r="C44"/>
      <c r="D44"/>
      <c r="E44"/>
      <c r="F44"/>
      <c r="G44"/>
    </row>
    <row r="45" spans="1:9" x14ac:dyDescent="0.3">
      <c r="A45"/>
      <c r="B45"/>
      <c r="C45"/>
      <c r="D45"/>
      <c r="E45"/>
      <c r="F45"/>
      <c r="G45"/>
    </row>
    <row r="46" spans="1:9" x14ac:dyDescent="0.3">
      <c r="A46"/>
      <c r="B46"/>
      <c r="C46"/>
      <c r="D46"/>
      <c r="E46"/>
      <c r="F46"/>
      <c r="G46"/>
    </row>
    <row r="47" spans="1:9" x14ac:dyDescent="0.3">
      <c r="A47"/>
      <c r="B47"/>
      <c r="C47"/>
      <c r="D47"/>
      <c r="E47"/>
      <c r="F47"/>
      <c r="G47"/>
    </row>
    <row r="48" spans="1:9" x14ac:dyDescent="0.3">
      <c r="A48"/>
      <c r="B48"/>
      <c r="C48"/>
      <c r="D48"/>
      <c r="E48"/>
      <c r="F48"/>
      <c r="G48"/>
    </row>
    <row r="49" spans="1:7" x14ac:dyDescent="0.3">
      <c r="A49"/>
      <c r="B49"/>
      <c r="C49"/>
      <c r="D49"/>
      <c r="E49"/>
      <c r="F49"/>
      <c r="G49"/>
    </row>
    <row r="50" spans="1:7" x14ac:dyDescent="0.3">
      <c r="A50"/>
      <c r="B50"/>
      <c r="C50"/>
      <c r="D50"/>
      <c r="E50"/>
      <c r="F50"/>
      <c r="G50"/>
    </row>
    <row r="51" spans="1:7" x14ac:dyDescent="0.3">
      <c r="A51"/>
      <c r="B51"/>
      <c r="C51"/>
      <c r="D51"/>
      <c r="E51"/>
      <c r="F51"/>
      <c r="G51"/>
    </row>
    <row r="52" spans="1:7" x14ac:dyDescent="0.3">
      <c r="A52"/>
      <c r="B52"/>
      <c r="C52"/>
      <c r="D52"/>
      <c r="E52"/>
      <c r="F52"/>
      <c r="G52"/>
    </row>
    <row r="53" spans="1:7" x14ac:dyDescent="0.3">
      <c r="A53"/>
      <c r="B53"/>
      <c r="C53"/>
      <c r="D53"/>
      <c r="E53"/>
      <c r="F53"/>
      <c r="G53"/>
    </row>
    <row r="54" spans="1:7" x14ac:dyDescent="0.3">
      <c r="A54"/>
      <c r="B54"/>
      <c r="C54"/>
      <c r="D54"/>
      <c r="E54"/>
      <c r="F54"/>
      <c r="G54"/>
    </row>
    <row r="55" spans="1:7" x14ac:dyDescent="0.3">
      <c r="A55"/>
      <c r="B55"/>
      <c r="C55"/>
      <c r="D55"/>
      <c r="E55"/>
      <c r="F55"/>
      <c r="G55"/>
    </row>
    <row r="56" spans="1:7" x14ac:dyDescent="0.3">
      <c r="A56"/>
      <c r="B56"/>
      <c r="C56"/>
      <c r="D56"/>
      <c r="E56"/>
      <c r="F56"/>
      <c r="G56"/>
    </row>
    <row r="57" spans="1:7" x14ac:dyDescent="0.3">
      <c r="A57"/>
      <c r="B57"/>
      <c r="C57"/>
      <c r="D57"/>
      <c r="E57"/>
      <c r="F57"/>
      <c r="G57"/>
    </row>
    <row r="58" spans="1:7" x14ac:dyDescent="0.3">
      <c r="A58"/>
      <c r="B58"/>
      <c r="C58"/>
      <c r="D58"/>
      <c r="E58"/>
      <c r="F58"/>
      <c r="G58"/>
    </row>
    <row r="59" spans="1:7" x14ac:dyDescent="0.3">
      <c r="A59"/>
      <c r="B59"/>
      <c r="C59"/>
      <c r="D59"/>
      <c r="E59"/>
      <c r="F59"/>
      <c r="G59"/>
    </row>
    <row r="60" spans="1:7" x14ac:dyDescent="0.3">
      <c r="A60"/>
      <c r="B60"/>
      <c r="C60"/>
      <c r="D60"/>
      <c r="E60"/>
      <c r="F60"/>
      <c r="G60"/>
    </row>
  </sheetData>
  <phoneticPr fontId="6" type="noConversion"/>
  <pageMargins left="0.39370078740157483" right="0.39370078740157483" top="0.39370078740157483" bottom="0.39370078740157483" header="0.31496062992125984" footer="0.31496062992125984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FFD02-3852-46F5-8EC5-8770E875686F}">
  <sheetPr codeName="Hoja4"/>
  <dimension ref="A1:L481"/>
  <sheetViews>
    <sheetView topLeftCell="A15" zoomScale="120" zoomScaleNormal="120" workbookViewId="0">
      <selection activeCell="H25" sqref="H25"/>
    </sheetView>
  </sheetViews>
  <sheetFormatPr baseColWidth="10" defaultRowHeight="14.4" x14ac:dyDescent="0.3"/>
  <cols>
    <col min="1" max="1" width="4.6640625" style="31" customWidth="1"/>
    <col min="2" max="2" width="4.33203125" customWidth="1"/>
    <col min="3" max="3" width="10" bestFit="1" customWidth="1"/>
    <col min="4" max="4" width="16.5546875" customWidth="1"/>
    <col min="5" max="7" width="10.5546875" customWidth="1"/>
    <col min="8" max="8" width="20.44140625" customWidth="1"/>
    <col min="9" max="9" width="30.44140625" bestFit="1" customWidth="1"/>
    <col min="10" max="11" width="8.44140625" bestFit="1" customWidth="1"/>
    <col min="12" max="12" width="8.5546875" bestFit="1" customWidth="1"/>
  </cols>
  <sheetData>
    <row r="1" spans="1:12" s="27" customFormat="1" ht="24.15" thickBot="1" x14ac:dyDescent="0.35">
      <c r="A1" s="33">
        <f>IF(Indicaciones!G18="","",SUM(A23:A30))</f>
        <v>0</v>
      </c>
      <c r="B1" s="26" t="s">
        <v>22</v>
      </c>
    </row>
    <row r="2" spans="1:12" s="30" customFormat="1" ht="14.55" thickTop="1" x14ac:dyDescent="0.3">
      <c r="A2" s="34"/>
      <c r="G2" s="32"/>
    </row>
    <row r="3" spans="1:12" ht="13.95" x14ac:dyDescent="0.3">
      <c r="A3"/>
      <c r="C3" t="s">
        <v>90</v>
      </c>
      <c r="I3" t="s">
        <v>90</v>
      </c>
    </row>
    <row r="4" spans="1:12" x14ac:dyDescent="0.3">
      <c r="A4"/>
      <c r="C4" t="s">
        <v>51</v>
      </c>
      <c r="I4" s="74" t="s">
        <v>63</v>
      </c>
    </row>
    <row r="5" spans="1:12" x14ac:dyDescent="0.3">
      <c r="A5"/>
      <c r="C5" t="s">
        <v>54</v>
      </c>
      <c r="I5" s="74" t="s">
        <v>86</v>
      </c>
    </row>
    <row r="6" spans="1:12" ht="13.95" x14ac:dyDescent="0.3">
      <c r="A6"/>
      <c r="C6" t="s">
        <v>40</v>
      </c>
      <c r="I6" s="63" t="s">
        <v>40</v>
      </c>
    </row>
    <row r="7" spans="1:12" ht="13.95" x14ac:dyDescent="0.3">
      <c r="A7"/>
      <c r="E7" s="48">
        <v>2022</v>
      </c>
      <c r="F7" s="48">
        <v>2023</v>
      </c>
      <c r="G7" s="48">
        <v>2024</v>
      </c>
      <c r="I7" s="70" t="s">
        <v>64</v>
      </c>
      <c r="J7" s="66">
        <v>2022</v>
      </c>
      <c r="K7" s="66">
        <v>2023</v>
      </c>
      <c r="L7" s="66">
        <v>2024</v>
      </c>
    </row>
    <row r="8" spans="1:12" ht="13.95" x14ac:dyDescent="0.3">
      <c r="A8"/>
      <c r="C8" t="s">
        <v>52</v>
      </c>
      <c r="E8" s="61">
        <v>400000</v>
      </c>
      <c r="F8" s="61">
        <v>450000</v>
      </c>
      <c r="G8" s="61">
        <v>520000</v>
      </c>
      <c r="I8" s="68" t="s">
        <v>65</v>
      </c>
      <c r="J8" s="69"/>
      <c r="K8" s="69"/>
      <c r="L8" s="69"/>
    </row>
    <row r="9" spans="1:12" ht="13.95" x14ac:dyDescent="0.3">
      <c r="A9"/>
      <c r="C9" t="s">
        <v>53</v>
      </c>
      <c r="E9" s="61">
        <v>-240000</v>
      </c>
      <c r="F9" s="61">
        <v>-270000</v>
      </c>
      <c r="G9" s="61">
        <v>-320000</v>
      </c>
      <c r="I9" s="63" t="s">
        <v>88</v>
      </c>
      <c r="J9" s="64">
        <v>20000</v>
      </c>
      <c r="K9" s="64">
        <v>25000</v>
      </c>
      <c r="L9" s="64">
        <v>30000</v>
      </c>
    </row>
    <row r="10" spans="1:12" ht="13.95" x14ac:dyDescent="0.3">
      <c r="A10"/>
      <c r="C10" s="48" t="s">
        <v>55</v>
      </c>
      <c r="E10" s="60">
        <f>SUM(E8:E9)</f>
        <v>160000</v>
      </c>
      <c r="F10" s="60">
        <f>SUM(F8:F9)</f>
        <v>180000</v>
      </c>
      <c r="G10" s="60">
        <f>SUM(G8:G9)</f>
        <v>200000</v>
      </c>
      <c r="I10" s="63" t="s">
        <v>87</v>
      </c>
      <c r="J10" s="64">
        <v>35000</v>
      </c>
      <c r="K10" s="64">
        <v>45000</v>
      </c>
      <c r="L10" s="64">
        <v>60000</v>
      </c>
    </row>
    <row r="11" spans="1:12" ht="13.95" x14ac:dyDescent="0.3">
      <c r="A11"/>
      <c r="C11" t="s">
        <v>61</v>
      </c>
      <c r="E11" s="61">
        <v>-65000</v>
      </c>
      <c r="F11" s="61">
        <v>-75000</v>
      </c>
      <c r="G11" s="61">
        <v>-85000</v>
      </c>
      <c r="I11" s="63" t="s">
        <v>66</v>
      </c>
      <c r="J11" s="64">
        <v>70000</v>
      </c>
      <c r="K11" s="64">
        <v>80000</v>
      </c>
      <c r="L11" s="64">
        <v>95000</v>
      </c>
    </row>
    <row r="12" spans="1:12" ht="13.95" x14ac:dyDescent="0.3">
      <c r="A12"/>
      <c r="C12" s="48" t="s">
        <v>58</v>
      </c>
      <c r="E12" s="60">
        <f t="shared" ref="E12:F12" si="0">SUM(E10:E11)</f>
        <v>95000</v>
      </c>
      <c r="F12" s="60">
        <f t="shared" si="0"/>
        <v>105000</v>
      </c>
      <c r="G12" s="60">
        <f>SUM(G10:G11)</f>
        <v>115000</v>
      </c>
      <c r="I12" s="67" t="s">
        <v>67</v>
      </c>
      <c r="J12" s="65">
        <f>SUM(J9:J11)</f>
        <v>125000</v>
      </c>
      <c r="K12" s="65">
        <f t="shared" ref="K12:L12" si="1">SUM(K9:K11)</f>
        <v>150000</v>
      </c>
      <c r="L12" s="65">
        <f t="shared" si="1"/>
        <v>185000</v>
      </c>
    </row>
    <row r="13" spans="1:12" ht="13.95" x14ac:dyDescent="0.3">
      <c r="A13"/>
      <c r="C13" t="s">
        <v>59</v>
      </c>
      <c r="E13" s="61">
        <v>1000</v>
      </c>
      <c r="F13" s="61">
        <v>0</v>
      </c>
      <c r="G13" s="61">
        <v>0</v>
      </c>
      <c r="I13" s="68" t="s">
        <v>68</v>
      </c>
      <c r="J13" s="69"/>
      <c r="K13" s="69"/>
      <c r="L13" s="69"/>
    </row>
    <row r="14" spans="1:12" ht="13.95" x14ac:dyDescent="0.3">
      <c r="A14"/>
      <c r="C14" t="s">
        <v>60</v>
      </c>
      <c r="E14" s="61">
        <v>-12000</v>
      </c>
      <c r="F14" s="61">
        <v>-15000</v>
      </c>
      <c r="G14" s="61">
        <v>-18000</v>
      </c>
      <c r="I14" s="63" t="s">
        <v>69</v>
      </c>
      <c r="J14" s="64">
        <v>180000</v>
      </c>
      <c r="K14" s="64">
        <v>200000</v>
      </c>
      <c r="L14" s="64">
        <v>230000</v>
      </c>
    </row>
    <row r="15" spans="1:12" x14ac:dyDescent="0.3">
      <c r="A15"/>
      <c r="C15" s="48" t="s">
        <v>56</v>
      </c>
      <c r="E15" s="60">
        <f>SUM(E12:E14)</f>
        <v>84000</v>
      </c>
      <c r="F15" s="60">
        <f>SUM(F12:F14)</f>
        <v>90000</v>
      </c>
      <c r="G15" s="60">
        <f>SUM(G12:G14)</f>
        <v>97000</v>
      </c>
      <c r="I15" s="63" t="s">
        <v>70</v>
      </c>
      <c r="J15" s="64">
        <v>-30000</v>
      </c>
      <c r="K15" s="64">
        <v>-40000</v>
      </c>
      <c r="L15" s="64">
        <v>-55000</v>
      </c>
    </row>
    <row r="16" spans="1:12" ht="13.95" x14ac:dyDescent="0.3">
      <c r="A16"/>
      <c r="C16" t="s">
        <v>62</v>
      </c>
      <c r="E16" s="61">
        <f>-E15*29.5%</f>
        <v>-24780</v>
      </c>
      <c r="F16" s="61">
        <f>-F15*29.5%</f>
        <v>-26550</v>
      </c>
      <c r="G16" s="61">
        <f>-G15*29.5%</f>
        <v>-28615</v>
      </c>
      <c r="I16" s="67" t="s">
        <v>71</v>
      </c>
      <c r="J16" s="65">
        <f>SUM(J14:J15)</f>
        <v>150000</v>
      </c>
      <c r="K16" s="65">
        <f t="shared" ref="K16:L16" si="2">SUM(K14:K15)</f>
        <v>160000</v>
      </c>
      <c r="L16" s="65">
        <f t="shared" si="2"/>
        <v>175000</v>
      </c>
    </row>
    <row r="17" spans="1:12" ht="13.95" x14ac:dyDescent="0.3">
      <c r="A17"/>
      <c r="C17" s="48" t="s">
        <v>57</v>
      </c>
      <c r="E17" s="60">
        <f>SUM(E15:E16)</f>
        <v>59220</v>
      </c>
      <c r="F17" s="60">
        <f>SUM(F15:F16)</f>
        <v>63450</v>
      </c>
      <c r="G17" s="60">
        <f>SUM(G15:G16)</f>
        <v>68385</v>
      </c>
      <c r="I17" s="73" t="s">
        <v>72</v>
      </c>
      <c r="J17" s="72">
        <f>SUM(J16,J12)</f>
        <v>275000</v>
      </c>
      <c r="K17" s="72">
        <f t="shared" ref="K17:L17" si="3">SUM(K16,K12)</f>
        <v>310000</v>
      </c>
      <c r="L17" s="72">
        <f t="shared" si="3"/>
        <v>360000</v>
      </c>
    </row>
    <row r="18" spans="1:12" ht="13.95" x14ac:dyDescent="0.3">
      <c r="A18"/>
      <c r="C18" s="48"/>
      <c r="E18" s="60"/>
      <c r="F18" s="60"/>
      <c r="G18" s="60"/>
      <c r="I18" s="68" t="s">
        <v>73</v>
      </c>
      <c r="J18" s="69"/>
      <c r="K18" s="69"/>
      <c r="L18" s="69"/>
    </row>
    <row r="19" spans="1:12" ht="13.95" x14ac:dyDescent="0.3">
      <c r="A19"/>
      <c r="I19" s="63" t="s">
        <v>74</v>
      </c>
      <c r="J19" s="64">
        <v>35000</v>
      </c>
      <c r="K19" s="64">
        <v>40000</v>
      </c>
      <c r="L19" s="64">
        <v>55000</v>
      </c>
    </row>
    <row r="20" spans="1:12" ht="13.95" x14ac:dyDescent="0.3">
      <c r="A20"/>
      <c r="B20" t="s">
        <v>98</v>
      </c>
      <c r="I20" s="63" t="s">
        <v>75</v>
      </c>
      <c r="J20" s="64">
        <v>15000</v>
      </c>
      <c r="K20" s="64">
        <v>20000</v>
      </c>
      <c r="L20" s="64">
        <v>25000</v>
      </c>
    </row>
    <row r="21" spans="1:12" ht="13.95" x14ac:dyDescent="0.3">
      <c r="A21"/>
      <c r="I21" s="67" t="s">
        <v>76</v>
      </c>
      <c r="J21" s="65">
        <f t="shared" ref="J21:L21" si="4">SUM(J19:J20)</f>
        <v>50000</v>
      </c>
      <c r="K21" s="65">
        <f t="shared" si="4"/>
        <v>60000</v>
      </c>
      <c r="L21" s="65">
        <f t="shared" si="4"/>
        <v>80000</v>
      </c>
    </row>
    <row r="22" spans="1:12" ht="13.95" x14ac:dyDescent="0.3">
      <c r="A22"/>
      <c r="B22" s="36" t="s">
        <v>8</v>
      </c>
      <c r="C22" t="s">
        <v>91</v>
      </c>
      <c r="I22" s="68" t="s">
        <v>77</v>
      </c>
      <c r="J22" s="69"/>
      <c r="K22" s="69"/>
      <c r="L22" s="69"/>
    </row>
    <row r="23" spans="1:12" x14ac:dyDescent="0.3">
      <c r="A23"/>
      <c r="C23" s="47">
        <v>0.25</v>
      </c>
      <c r="D23" t="s">
        <v>95</v>
      </c>
      <c r="E23" s="76" t="s">
        <v>124</v>
      </c>
      <c r="F23" s="76"/>
      <c r="G23" s="76"/>
      <c r="H23" s="76"/>
      <c r="I23" s="63" t="s">
        <v>78</v>
      </c>
      <c r="J23" s="64">
        <v>90000</v>
      </c>
      <c r="K23" s="64">
        <v>100000</v>
      </c>
      <c r="L23" s="64">
        <v>110000</v>
      </c>
    </row>
    <row r="24" spans="1:12" x14ac:dyDescent="0.3">
      <c r="A24"/>
      <c r="C24" s="47">
        <v>0.25</v>
      </c>
      <c r="D24" t="s">
        <v>99</v>
      </c>
      <c r="E24" s="76">
        <f>L12/L21</f>
        <v>2.3125</v>
      </c>
      <c r="I24" s="66" t="s">
        <v>79</v>
      </c>
      <c r="J24" s="65">
        <f>J23</f>
        <v>90000</v>
      </c>
      <c r="K24" s="65">
        <f t="shared" ref="K24:L24" si="5">K23</f>
        <v>100000</v>
      </c>
      <c r="L24" s="65">
        <f t="shared" si="5"/>
        <v>110000</v>
      </c>
    </row>
    <row r="25" spans="1:12" x14ac:dyDescent="0.3">
      <c r="A25"/>
      <c r="C25" s="47">
        <v>1.5</v>
      </c>
      <c r="D25" t="s">
        <v>19</v>
      </c>
      <c r="E25" t="s">
        <v>125</v>
      </c>
      <c r="F25" s="75"/>
      <c r="G25" s="75"/>
      <c r="H25" s="75"/>
      <c r="I25" s="66" t="s">
        <v>80</v>
      </c>
      <c r="J25" s="65">
        <f>SUM(J24,J21)</f>
        <v>140000</v>
      </c>
      <c r="K25" s="65">
        <f t="shared" ref="K25:L25" si="6">SUM(K24,K21)</f>
        <v>160000</v>
      </c>
      <c r="L25" s="65">
        <f t="shared" si="6"/>
        <v>190000</v>
      </c>
    </row>
    <row r="26" spans="1:12" x14ac:dyDescent="0.3">
      <c r="A26"/>
      <c r="E26" s="75"/>
      <c r="F26" s="75"/>
      <c r="G26" s="75"/>
      <c r="H26" s="75"/>
      <c r="I26" s="68" t="s">
        <v>81</v>
      </c>
      <c r="J26" s="69"/>
      <c r="K26" s="69"/>
      <c r="L26" s="69"/>
    </row>
    <row r="27" spans="1:12" x14ac:dyDescent="0.3">
      <c r="A27"/>
      <c r="B27" s="62" t="s">
        <v>9</v>
      </c>
      <c r="C27" t="s">
        <v>92</v>
      </c>
      <c r="I27" s="63" t="s">
        <v>82</v>
      </c>
      <c r="J27" s="64">
        <v>110000</v>
      </c>
      <c r="K27" s="64">
        <v>120000</v>
      </c>
      <c r="L27" s="64">
        <v>130000</v>
      </c>
    </row>
    <row r="28" spans="1:12" x14ac:dyDescent="0.3">
      <c r="A28"/>
      <c r="C28" s="47">
        <v>0.25</v>
      </c>
      <c r="D28" t="s">
        <v>95</v>
      </c>
      <c r="E28" s="76" t="s">
        <v>126</v>
      </c>
      <c r="F28" s="76"/>
      <c r="G28" s="76"/>
      <c r="H28" s="76"/>
      <c r="I28" s="63" t="s">
        <v>83</v>
      </c>
      <c r="J28" s="64">
        <f>E17</f>
        <v>59220</v>
      </c>
      <c r="K28" s="64">
        <f t="shared" ref="K28:L28" si="7">F17</f>
        <v>63450</v>
      </c>
      <c r="L28" s="64">
        <f t="shared" si="7"/>
        <v>68385</v>
      </c>
    </row>
    <row r="29" spans="1:12" x14ac:dyDescent="0.3">
      <c r="A29"/>
      <c r="C29" s="47">
        <v>0.25</v>
      </c>
      <c r="D29" t="s">
        <v>99</v>
      </c>
      <c r="E29" s="76">
        <f>G17/G8</f>
        <v>0.13150961538461539</v>
      </c>
      <c r="I29" s="63" t="s">
        <v>89</v>
      </c>
      <c r="J29" s="64">
        <v>-75780</v>
      </c>
      <c r="K29" s="64">
        <v>-86550</v>
      </c>
      <c r="L29" s="64">
        <v>-101615</v>
      </c>
    </row>
    <row r="30" spans="1:12" x14ac:dyDescent="0.3">
      <c r="A30"/>
      <c r="C30" s="47">
        <v>1.5</v>
      </c>
      <c r="D30" t="s">
        <v>19</v>
      </c>
      <c r="E30" t="s">
        <v>127</v>
      </c>
      <c r="F30" s="75"/>
      <c r="G30" s="75"/>
      <c r="H30" s="75"/>
      <c r="I30" s="66" t="s">
        <v>84</v>
      </c>
      <c r="J30" s="65">
        <v>135000</v>
      </c>
      <c r="K30" s="65">
        <v>150000</v>
      </c>
      <c r="L30" s="65">
        <v>170000</v>
      </c>
    </row>
    <row r="31" spans="1:12" x14ac:dyDescent="0.3">
      <c r="A31"/>
      <c r="E31" s="75"/>
      <c r="F31" s="75"/>
      <c r="G31" s="75"/>
      <c r="H31" s="75"/>
      <c r="I31" s="71" t="s">
        <v>85</v>
      </c>
      <c r="J31" s="72">
        <v>275000</v>
      </c>
      <c r="K31" s="72">
        <v>310000</v>
      </c>
      <c r="L31" s="72">
        <v>360000</v>
      </c>
    </row>
    <row r="32" spans="1:12" x14ac:dyDescent="0.3">
      <c r="A32"/>
    </row>
    <row r="33" spans="1:8" x14ac:dyDescent="0.3">
      <c r="A33"/>
      <c r="B33" s="83" t="s">
        <v>107</v>
      </c>
      <c r="C33" s="84"/>
      <c r="D33" s="84"/>
      <c r="E33" s="84"/>
      <c r="F33" s="84"/>
      <c r="G33" s="84"/>
      <c r="H33" s="84"/>
    </row>
    <row r="34" spans="1:8" x14ac:dyDescent="0.3">
      <c r="A34"/>
      <c r="C34" s="79" t="s">
        <v>93</v>
      </c>
      <c r="D34" s="79"/>
      <c r="E34" s="79"/>
      <c r="F34" s="79"/>
      <c r="G34" s="79"/>
      <c r="H34" s="79"/>
    </row>
    <row r="35" spans="1:8" x14ac:dyDescent="0.3">
      <c r="A35"/>
      <c r="C35" s="80">
        <v>0.25</v>
      </c>
      <c r="D35" s="79" t="s">
        <v>95</v>
      </c>
      <c r="E35" s="81"/>
      <c r="F35" s="81"/>
      <c r="G35" s="81"/>
      <c r="H35" s="81"/>
    </row>
    <row r="36" spans="1:8" x14ac:dyDescent="0.3">
      <c r="A36"/>
      <c r="C36" s="80">
        <v>0.25</v>
      </c>
      <c r="D36" s="79" t="s">
        <v>99</v>
      </c>
      <c r="E36" s="81"/>
    </row>
    <row r="37" spans="1:8" x14ac:dyDescent="0.3">
      <c r="A37"/>
      <c r="C37" s="80">
        <v>1.5</v>
      </c>
      <c r="D37" s="79" t="s">
        <v>19</v>
      </c>
      <c r="E37" s="82"/>
      <c r="F37" s="82"/>
      <c r="G37" s="82"/>
      <c r="H37" s="82"/>
    </row>
    <row r="38" spans="1:8" x14ac:dyDescent="0.3">
      <c r="A38"/>
      <c r="C38" s="79"/>
      <c r="D38" s="79"/>
      <c r="E38" s="82"/>
      <c r="F38" s="82"/>
      <c r="G38" s="82"/>
      <c r="H38" s="82"/>
    </row>
    <row r="39" spans="1:8" x14ac:dyDescent="0.3">
      <c r="A39"/>
      <c r="C39" s="79" t="s">
        <v>94</v>
      </c>
      <c r="D39" s="79"/>
      <c r="E39" s="79"/>
      <c r="F39" s="79"/>
      <c r="G39" s="79"/>
      <c r="H39" s="79"/>
    </row>
    <row r="40" spans="1:8" x14ac:dyDescent="0.3">
      <c r="A40"/>
      <c r="C40" s="80">
        <v>0.25</v>
      </c>
      <c r="D40" s="79" t="s">
        <v>95</v>
      </c>
      <c r="E40" s="81"/>
      <c r="F40" s="81"/>
      <c r="G40" s="81"/>
      <c r="H40" s="81"/>
    </row>
    <row r="41" spans="1:8" x14ac:dyDescent="0.3">
      <c r="A41"/>
      <c r="C41" s="80">
        <v>0.25</v>
      </c>
      <c r="D41" s="79" t="s">
        <v>99</v>
      </c>
      <c r="E41" s="81"/>
      <c r="F41" s="79"/>
      <c r="G41" s="79"/>
      <c r="H41" s="79"/>
    </row>
    <row r="42" spans="1:8" x14ac:dyDescent="0.3">
      <c r="A42"/>
      <c r="C42" s="80">
        <v>1.5</v>
      </c>
      <c r="D42" s="79" t="s">
        <v>19</v>
      </c>
      <c r="E42" s="82"/>
      <c r="F42" s="82"/>
      <c r="G42" s="82"/>
      <c r="H42" s="82"/>
    </row>
    <row r="43" spans="1:8" x14ac:dyDescent="0.3">
      <c r="A43"/>
      <c r="C43" s="79"/>
      <c r="D43" s="79"/>
      <c r="E43" s="82"/>
      <c r="F43" s="82"/>
      <c r="G43" s="82"/>
      <c r="H43" s="82"/>
    </row>
    <row r="44" spans="1:8" x14ac:dyDescent="0.3">
      <c r="A44"/>
    </row>
    <row r="45" spans="1:8" x14ac:dyDescent="0.3">
      <c r="A45"/>
    </row>
    <row r="46" spans="1:8" x14ac:dyDescent="0.3">
      <c r="A46"/>
    </row>
    <row r="47" spans="1:8" x14ac:dyDescent="0.3">
      <c r="A47"/>
    </row>
    <row r="48" spans="1:8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x14ac:dyDescent="0.3">
      <c r="A107"/>
    </row>
    <row r="108" spans="1:1" x14ac:dyDescent="0.3">
      <c r="A108"/>
    </row>
    <row r="109" spans="1:1" x14ac:dyDescent="0.3">
      <c r="A109"/>
    </row>
    <row r="110" spans="1:1" x14ac:dyDescent="0.3">
      <c r="A110"/>
    </row>
    <row r="111" spans="1:1" x14ac:dyDescent="0.3">
      <c r="A111"/>
    </row>
    <row r="112" spans="1:1" x14ac:dyDescent="0.3">
      <c r="A112"/>
    </row>
    <row r="113" spans="1:1" x14ac:dyDescent="0.3">
      <c r="A113"/>
    </row>
    <row r="114" spans="1:1" x14ac:dyDescent="0.3">
      <c r="A114"/>
    </row>
    <row r="115" spans="1:1" x14ac:dyDescent="0.3">
      <c r="A115"/>
    </row>
    <row r="116" spans="1:1" x14ac:dyDescent="0.3">
      <c r="A116"/>
    </row>
    <row r="117" spans="1:1" x14ac:dyDescent="0.3">
      <c r="A117"/>
    </row>
    <row r="118" spans="1:1" x14ac:dyDescent="0.3">
      <c r="A118"/>
    </row>
    <row r="119" spans="1:1" x14ac:dyDescent="0.3">
      <c r="A119"/>
    </row>
    <row r="120" spans="1:1" x14ac:dyDescent="0.3">
      <c r="A120"/>
    </row>
    <row r="121" spans="1:1" x14ac:dyDescent="0.3">
      <c r="A121"/>
    </row>
    <row r="122" spans="1:1" x14ac:dyDescent="0.3">
      <c r="A122"/>
    </row>
    <row r="123" spans="1:1" x14ac:dyDescent="0.3">
      <c r="A123"/>
    </row>
    <row r="124" spans="1:1" x14ac:dyDescent="0.3">
      <c r="A124"/>
    </row>
    <row r="125" spans="1:1" x14ac:dyDescent="0.3">
      <c r="A125"/>
    </row>
    <row r="126" spans="1:1" x14ac:dyDescent="0.3">
      <c r="A126"/>
    </row>
    <row r="127" spans="1:1" x14ac:dyDescent="0.3">
      <c r="A127"/>
    </row>
    <row r="128" spans="1:1" x14ac:dyDescent="0.3">
      <c r="A128"/>
    </row>
    <row r="129" spans="1:1" x14ac:dyDescent="0.3">
      <c r="A129"/>
    </row>
    <row r="130" spans="1:1" x14ac:dyDescent="0.3">
      <c r="A130"/>
    </row>
    <row r="131" spans="1:1" x14ac:dyDescent="0.3">
      <c r="A131"/>
    </row>
    <row r="132" spans="1:1" x14ac:dyDescent="0.3">
      <c r="A132"/>
    </row>
    <row r="133" spans="1:1" x14ac:dyDescent="0.3">
      <c r="A133"/>
    </row>
    <row r="134" spans="1:1" x14ac:dyDescent="0.3">
      <c r="A134"/>
    </row>
    <row r="135" spans="1:1" x14ac:dyDescent="0.3">
      <c r="A135"/>
    </row>
    <row r="136" spans="1:1" x14ac:dyDescent="0.3">
      <c r="A136"/>
    </row>
    <row r="137" spans="1:1" x14ac:dyDescent="0.3">
      <c r="A137"/>
    </row>
    <row r="138" spans="1:1" x14ac:dyDescent="0.3">
      <c r="A138"/>
    </row>
    <row r="139" spans="1:1" x14ac:dyDescent="0.3">
      <c r="A139"/>
    </row>
    <row r="140" spans="1:1" x14ac:dyDescent="0.3">
      <c r="A140"/>
    </row>
    <row r="141" spans="1:1" x14ac:dyDescent="0.3">
      <c r="A141"/>
    </row>
    <row r="142" spans="1:1" x14ac:dyDescent="0.3">
      <c r="A142"/>
    </row>
    <row r="143" spans="1:1" x14ac:dyDescent="0.3">
      <c r="A143"/>
    </row>
    <row r="144" spans="1:1" x14ac:dyDescent="0.3">
      <c r="A144"/>
    </row>
    <row r="145" spans="1:1" x14ac:dyDescent="0.3">
      <c r="A145"/>
    </row>
    <row r="146" spans="1:1" x14ac:dyDescent="0.3">
      <c r="A146"/>
    </row>
    <row r="147" spans="1:1" x14ac:dyDescent="0.3">
      <c r="A147"/>
    </row>
    <row r="148" spans="1:1" x14ac:dyDescent="0.3">
      <c r="A148"/>
    </row>
    <row r="149" spans="1:1" x14ac:dyDescent="0.3">
      <c r="A149"/>
    </row>
    <row r="150" spans="1:1" x14ac:dyDescent="0.3">
      <c r="A150"/>
    </row>
    <row r="151" spans="1:1" x14ac:dyDescent="0.3">
      <c r="A151"/>
    </row>
    <row r="152" spans="1:1" x14ac:dyDescent="0.3">
      <c r="A152"/>
    </row>
    <row r="153" spans="1:1" x14ac:dyDescent="0.3">
      <c r="A153"/>
    </row>
    <row r="154" spans="1:1" x14ac:dyDescent="0.3">
      <c r="A154"/>
    </row>
    <row r="155" spans="1:1" x14ac:dyDescent="0.3">
      <c r="A155"/>
    </row>
    <row r="156" spans="1:1" x14ac:dyDescent="0.3">
      <c r="A156"/>
    </row>
    <row r="157" spans="1:1" x14ac:dyDescent="0.3">
      <c r="A157"/>
    </row>
    <row r="158" spans="1:1" x14ac:dyDescent="0.3">
      <c r="A158"/>
    </row>
    <row r="159" spans="1:1" x14ac:dyDescent="0.3">
      <c r="A159"/>
    </row>
    <row r="160" spans="1:1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  <row r="166" spans="1:1" x14ac:dyDescent="0.3">
      <c r="A166"/>
    </row>
    <row r="167" spans="1:1" x14ac:dyDescent="0.3">
      <c r="A167"/>
    </row>
    <row r="168" spans="1:1" x14ac:dyDescent="0.3">
      <c r="A168"/>
    </row>
    <row r="169" spans="1:1" x14ac:dyDescent="0.3">
      <c r="A169"/>
    </row>
    <row r="170" spans="1:1" x14ac:dyDescent="0.3">
      <c r="A170"/>
    </row>
    <row r="171" spans="1:1" x14ac:dyDescent="0.3">
      <c r="A171"/>
    </row>
    <row r="172" spans="1:1" x14ac:dyDescent="0.3">
      <c r="A172"/>
    </row>
    <row r="173" spans="1:1" x14ac:dyDescent="0.3">
      <c r="A173"/>
    </row>
    <row r="174" spans="1:1" x14ac:dyDescent="0.3">
      <c r="A174"/>
    </row>
    <row r="175" spans="1:1" x14ac:dyDescent="0.3">
      <c r="A175"/>
    </row>
    <row r="176" spans="1:1" x14ac:dyDescent="0.3">
      <c r="A176"/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  <row r="184" spans="1:1" x14ac:dyDescent="0.3">
      <c r="A184"/>
    </row>
    <row r="185" spans="1:1" x14ac:dyDescent="0.3">
      <c r="A185"/>
    </row>
    <row r="186" spans="1:1" x14ac:dyDescent="0.3">
      <c r="A186"/>
    </row>
    <row r="187" spans="1:1" x14ac:dyDescent="0.3">
      <c r="A187"/>
    </row>
    <row r="188" spans="1:1" x14ac:dyDescent="0.3">
      <c r="A188"/>
    </row>
    <row r="189" spans="1:1" x14ac:dyDescent="0.3">
      <c r="A189"/>
    </row>
    <row r="190" spans="1:1" x14ac:dyDescent="0.3">
      <c r="A190"/>
    </row>
    <row r="191" spans="1:1" x14ac:dyDescent="0.3">
      <c r="A191"/>
    </row>
    <row r="192" spans="1:1" x14ac:dyDescent="0.3">
      <c r="A192"/>
    </row>
    <row r="193" spans="1:1" x14ac:dyDescent="0.3">
      <c r="A193"/>
    </row>
    <row r="194" spans="1:1" x14ac:dyDescent="0.3">
      <c r="A194"/>
    </row>
    <row r="195" spans="1:1" x14ac:dyDescent="0.3">
      <c r="A195"/>
    </row>
    <row r="196" spans="1:1" x14ac:dyDescent="0.3">
      <c r="A196"/>
    </row>
    <row r="197" spans="1:1" x14ac:dyDescent="0.3">
      <c r="A197"/>
    </row>
    <row r="198" spans="1:1" x14ac:dyDescent="0.3">
      <c r="A198"/>
    </row>
    <row r="199" spans="1:1" x14ac:dyDescent="0.3">
      <c r="A199"/>
    </row>
    <row r="200" spans="1:1" x14ac:dyDescent="0.3">
      <c r="A200"/>
    </row>
    <row r="201" spans="1:1" x14ac:dyDescent="0.3">
      <c r="A201"/>
    </row>
    <row r="202" spans="1:1" x14ac:dyDescent="0.3">
      <c r="A202"/>
    </row>
    <row r="203" spans="1:1" x14ac:dyDescent="0.3">
      <c r="A203"/>
    </row>
    <row r="204" spans="1:1" x14ac:dyDescent="0.3">
      <c r="A204"/>
    </row>
    <row r="205" spans="1:1" x14ac:dyDescent="0.3">
      <c r="A205"/>
    </row>
    <row r="206" spans="1:1" x14ac:dyDescent="0.3">
      <c r="A206"/>
    </row>
    <row r="207" spans="1:1" x14ac:dyDescent="0.3">
      <c r="A207"/>
    </row>
    <row r="208" spans="1:1" x14ac:dyDescent="0.3">
      <c r="A208"/>
    </row>
    <row r="209" spans="1:1" x14ac:dyDescent="0.3">
      <c r="A209"/>
    </row>
    <row r="210" spans="1:1" x14ac:dyDescent="0.3">
      <c r="A210"/>
    </row>
    <row r="211" spans="1:1" x14ac:dyDescent="0.3">
      <c r="A211"/>
    </row>
    <row r="212" spans="1:1" x14ac:dyDescent="0.3">
      <c r="A212"/>
    </row>
    <row r="213" spans="1:1" x14ac:dyDescent="0.3">
      <c r="A213"/>
    </row>
    <row r="214" spans="1:1" x14ac:dyDescent="0.3">
      <c r="A214"/>
    </row>
    <row r="215" spans="1:1" x14ac:dyDescent="0.3">
      <c r="A215"/>
    </row>
    <row r="216" spans="1:1" x14ac:dyDescent="0.3">
      <c r="A216"/>
    </row>
    <row r="217" spans="1:1" x14ac:dyDescent="0.3">
      <c r="A217"/>
    </row>
    <row r="218" spans="1:1" x14ac:dyDescent="0.3">
      <c r="A218"/>
    </row>
    <row r="219" spans="1:1" x14ac:dyDescent="0.3">
      <c r="A219"/>
    </row>
    <row r="220" spans="1:1" x14ac:dyDescent="0.3">
      <c r="A220"/>
    </row>
    <row r="221" spans="1:1" x14ac:dyDescent="0.3">
      <c r="A221"/>
    </row>
    <row r="222" spans="1:1" x14ac:dyDescent="0.3">
      <c r="A222"/>
    </row>
    <row r="223" spans="1:1" x14ac:dyDescent="0.3">
      <c r="A223"/>
    </row>
    <row r="224" spans="1:1" x14ac:dyDescent="0.3">
      <c r="A224"/>
    </row>
    <row r="225" spans="1:1" x14ac:dyDescent="0.3">
      <c r="A225"/>
    </row>
    <row r="226" spans="1:1" x14ac:dyDescent="0.3">
      <c r="A226"/>
    </row>
    <row r="227" spans="1:1" x14ac:dyDescent="0.3">
      <c r="A227"/>
    </row>
    <row r="228" spans="1:1" x14ac:dyDescent="0.3">
      <c r="A228"/>
    </row>
    <row r="229" spans="1:1" x14ac:dyDescent="0.3">
      <c r="A229"/>
    </row>
    <row r="230" spans="1:1" x14ac:dyDescent="0.3">
      <c r="A230"/>
    </row>
    <row r="231" spans="1:1" x14ac:dyDescent="0.3">
      <c r="A231"/>
    </row>
    <row r="232" spans="1:1" x14ac:dyDescent="0.3">
      <c r="A232"/>
    </row>
    <row r="233" spans="1:1" x14ac:dyDescent="0.3">
      <c r="A233"/>
    </row>
    <row r="234" spans="1:1" x14ac:dyDescent="0.3">
      <c r="A234"/>
    </row>
    <row r="235" spans="1:1" x14ac:dyDescent="0.3">
      <c r="A235"/>
    </row>
    <row r="236" spans="1:1" x14ac:dyDescent="0.3">
      <c r="A236"/>
    </row>
    <row r="237" spans="1:1" x14ac:dyDescent="0.3">
      <c r="A237"/>
    </row>
    <row r="238" spans="1:1" x14ac:dyDescent="0.3">
      <c r="A238"/>
    </row>
    <row r="239" spans="1:1" x14ac:dyDescent="0.3">
      <c r="A239"/>
    </row>
    <row r="240" spans="1:1" x14ac:dyDescent="0.3">
      <c r="A240"/>
    </row>
    <row r="241" spans="1:1" x14ac:dyDescent="0.3">
      <c r="A241"/>
    </row>
    <row r="242" spans="1:1" x14ac:dyDescent="0.3">
      <c r="A242"/>
    </row>
    <row r="243" spans="1:1" x14ac:dyDescent="0.3">
      <c r="A243"/>
    </row>
    <row r="244" spans="1:1" x14ac:dyDescent="0.3">
      <c r="A244"/>
    </row>
    <row r="245" spans="1:1" x14ac:dyDescent="0.3">
      <c r="A245"/>
    </row>
    <row r="246" spans="1:1" x14ac:dyDescent="0.3">
      <c r="A246"/>
    </row>
    <row r="247" spans="1:1" x14ac:dyDescent="0.3">
      <c r="A247"/>
    </row>
    <row r="248" spans="1:1" x14ac:dyDescent="0.3">
      <c r="A248"/>
    </row>
    <row r="249" spans="1:1" x14ac:dyDescent="0.3">
      <c r="A249"/>
    </row>
    <row r="250" spans="1:1" x14ac:dyDescent="0.3">
      <c r="A250"/>
    </row>
    <row r="251" spans="1:1" x14ac:dyDescent="0.3">
      <c r="A251"/>
    </row>
    <row r="252" spans="1:1" x14ac:dyDescent="0.3">
      <c r="A252"/>
    </row>
    <row r="253" spans="1:1" x14ac:dyDescent="0.3">
      <c r="A253"/>
    </row>
    <row r="254" spans="1:1" x14ac:dyDescent="0.3">
      <c r="A254"/>
    </row>
    <row r="255" spans="1:1" x14ac:dyDescent="0.3">
      <c r="A255"/>
    </row>
    <row r="256" spans="1:1" x14ac:dyDescent="0.3">
      <c r="A256"/>
    </row>
    <row r="257" spans="1:1" x14ac:dyDescent="0.3">
      <c r="A257"/>
    </row>
    <row r="258" spans="1:1" x14ac:dyDescent="0.3">
      <c r="A258"/>
    </row>
    <row r="259" spans="1:1" x14ac:dyDescent="0.3">
      <c r="A259"/>
    </row>
    <row r="260" spans="1:1" x14ac:dyDescent="0.3">
      <c r="A260"/>
    </row>
    <row r="261" spans="1:1" x14ac:dyDescent="0.3">
      <c r="A261"/>
    </row>
    <row r="262" spans="1:1" x14ac:dyDescent="0.3">
      <c r="A262"/>
    </row>
    <row r="263" spans="1:1" x14ac:dyDescent="0.3">
      <c r="A263"/>
    </row>
    <row r="264" spans="1:1" x14ac:dyDescent="0.3">
      <c r="A264"/>
    </row>
    <row r="265" spans="1:1" x14ac:dyDescent="0.3">
      <c r="A265"/>
    </row>
    <row r="266" spans="1:1" x14ac:dyDescent="0.3">
      <c r="A266"/>
    </row>
    <row r="267" spans="1:1" x14ac:dyDescent="0.3">
      <c r="A267"/>
    </row>
    <row r="268" spans="1:1" x14ac:dyDescent="0.3">
      <c r="A268"/>
    </row>
    <row r="269" spans="1:1" x14ac:dyDescent="0.3">
      <c r="A269"/>
    </row>
    <row r="270" spans="1:1" x14ac:dyDescent="0.3">
      <c r="A270"/>
    </row>
    <row r="271" spans="1:1" x14ac:dyDescent="0.3">
      <c r="A271"/>
    </row>
    <row r="272" spans="1:1" x14ac:dyDescent="0.3">
      <c r="A272"/>
    </row>
    <row r="273" spans="1:1" x14ac:dyDescent="0.3">
      <c r="A273"/>
    </row>
    <row r="274" spans="1:1" x14ac:dyDescent="0.3">
      <c r="A274"/>
    </row>
    <row r="275" spans="1:1" x14ac:dyDescent="0.3">
      <c r="A275"/>
    </row>
    <row r="276" spans="1:1" x14ac:dyDescent="0.3">
      <c r="A276"/>
    </row>
    <row r="277" spans="1:1" x14ac:dyDescent="0.3">
      <c r="A277"/>
    </row>
    <row r="278" spans="1:1" x14ac:dyDescent="0.3">
      <c r="A278"/>
    </row>
    <row r="279" spans="1:1" x14ac:dyDescent="0.3">
      <c r="A279"/>
    </row>
    <row r="280" spans="1:1" x14ac:dyDescent="0.3">
      <c r="A280"/>
    </row>
    <row r="281" spans="1:1" x14ac:dyDescent="0.3">
      <c r="A281"/>
    </row>
    <row r="282" spans="1:1" x14ac:dyDescent="0.3">
      <c r="A282"/>
    </row>
    <row r="283" spans="1:1" x14ac:dyDescent="0.3">
      <c r="A283"/>
    </row>
    <row r="284" spans="1:1" x14ac:dyDescent="0.3">
      <c r="A284"/>
    </row>
    <row r="285" spans="1:1" x14ac:dyDescent="0.3">
      <c r="A285"/>
    </row>
    <row r="286" spans="1:1" x14ac:dyDescent="0.3">
      <c r="A286"/>
    </row>
    <row r="287" spans="1:1" x14ac:dyDescent="0.3">
      <c r="A287"/>
    </row>
    <row r="288" spans="1:1" x14ac:dyDescent="0.3">
      <c r="A288"/>
    </row>
    <row r="289" spans="1:1" x14ac:dyDescent="0.3">
      <c r="A289"/>
    </row>
    <row r="290" spans="1:1" x14ac:dyDescent="0.3">
      <c r="A290"/>
    </row>
    <row r="291" spans="1:1" x14ac:dyDescent="0.3">
      <c r="A291"/>
    </row>
    <row r="292" spans="1:1" x14ac:dyDescent="0.3">
      <c r="A292"/>
    </row>
    <row r="293" spans="1:1" x14ac:dyDescent="0.3">
      <c r="A293"/>
    </row>
    <row r="294" spans="1:1" x14ac:dyDescent="0.3">
      <c r="A294"/>
    </row>
    <row r="295" spans="1:1" x14ac:dyDescent="0.3">
      <c r="A295"/>
    </row>
    <row r="296" spans="1:1" x14ac:dyDescent="0.3">
      <c r="A296"/>
    </row>
    <row r="297" spans="1:1" x14ac:dyDescent="0.3">
      <c r="A297"/>
    </row>
    <row r="298" spans="1:1" x14ac:dyDescent="0.3">
      <c r="A298"/>
    </row>
    <row r="299" spans="1:1" x14ac:dyDescent="0.3">
      <c r="A299"/>
    </row>
    <row r="300" spans="1:1" x14ac:dyDescent="0.3">
      <c r="A300"/>
    </row>
    <row r="301" spans="1:1" x14ac:dyDescent="0.3">
      <c r="A301"/>
    </row>
    <row r="302" spans="1:1" x14ac:dyDescent="0.3">
      <c r="A302"/>
    </row>
    <row r="303" spans="1:1" x14ac:dyDescent="0.3">
      <c r="A303"/>
    </row>
    <row r="304" spans="1:1" x14ac:dyDescent="0.3">
      <c r="A304"/>
    </row>
    <row r="305" spans="1:1" x14ac:dyDescent="0.3">
      <c r="A305"/>
    </row>
    <row r="306" spans="1:1" x14ac:dyDescent="0.3">
      <c r="A306"/>
    </row>
    <row r="307" spans="1:1" x14ac:dyDescent="0.3">
      <c r="A307"/>
    </row>
    <row r="308" spans="1:1" x14ac:dyDescent="0.3">
      <c r="A308"/>
    </row>
    <row r="309" spans="1:1" x14ac:dyDescent="0.3">
      <c r="A309"/>
    </row>
    <row r="310" spans="1:1" x14ac:dyDescent="0.3">
      <c r="A310"/>
    </row>
    <row r="311" spans="1:1" x14ac:dyDescent="0.3">
      <c r="A311"/>
    </row>
    <row r="312" spans="1:1" x14ac:dyDescent="0.3">
      <c r="A312"/>
    </row>
    <row r="313" spans="1:1" x14ac:dyDescent="0.3">
      <c r="A313"/>
    </row>
    <row r="314" spans="1:1" x14ac:dyDescent="0.3">
      <c r="A314"/>
    </row>
    <row r="315" spans="1:1" x14ac:dyDescent="0.3">
      <c r="A315"/>
    </row>
    <row r="316" spans="1:1" x14ac:dyDescent="0.3">
      <c r="A316"/>
    </row>
    <row r="317" spans="1:1" x14ac:dyDescent="0.3">
      <c r="A317"/>
    </row>
    <row r="318" spans="1:1" x14ac:dyDescent="0.3">
      <c r="A318"/>
    </row>
    <row r="319" spans="1:1" x14ac:dyDescent="0.3">
      <c r="A319"/>
    </row>
    <row r="320" spans="1:1" x14ac:dyDescent="0.3">
      <c r="A320"/>
    </row>
    <row r="321" spans="1:1" x14ac:dyDescent="0.3">
      <c r="A321"/>
    </row>
    <row r="322" spans="1:1" x14ac:dyDescent="0.3">
      <c r="A322"/>
    </row>
    <row r="323" spans="1:1" x14ac:dyDescent="0.3">
      <c r="A323"/>
    </row>
    <row r="324" spans="1:1" x14ac:dyDescent="0.3">
      <c r="A324"/>
    </row>
    <row r="325" spans="1:1" x14ac:dyDescent="0.3">
      <c r="A325"/>
    </row>
    <row r="326" spans="1:1" x14ac:dyDescent="0.3">
      <c r="A326"/>
    </row>
    <row r="327" spans="1:1" x14ac:dyDescent="0.3">
      <c r="A327"/>
    </row>
    <row r="328" spans="1:1" x14ac:dyDescent="0.3">
      <c r="A328"/>
    </row>
    <row r="329" spans="1:1" x14ac:dyDescent="0.3">
      <c r="A329"/>
    </row>
    <row r="330" spans="1:1" x14ac:dyDescent="0.3">
      <c r="A330"/>
    </row>
    <row r="331" spans="1:1" x14ac:dyDescent="0.3">
      <c r="A331"/>
    </row>
    <row r="332" spans="1:1" x14ac:dyDescent="0.3">
      <c r="A332"/>
    </row>
    <row r="333" spans="1:1" x14ac:dyDescent="0.3">
      <c r="A333"/>
    </row>
    <row r="334" spans="1:1" x14ac:dyDescent="0.3">
      <c r="A334"/>
    </row>
    <row r="335" spans="1:1" x14ac:dyDescent="0.3">
      <c r="A335"/>
    </row>
    <row r="336" spans="1:1" x14ac:dyDescent="0.3">
      <c r="A336"/>
    </row>
    <row r="337" spans="1:1" x14ac:dyDescent="0.3">
      <c r="A337"/>
    </row>
    <row r="338" spans="1:1" x14ac:dyDescent="0.3">
      <c r="A338"/>
    </row>
    <row r="339" spans="1:1" x14ac:dyDescent="0.3">
      <c r="A339"/>
    </row>
    <row r="340" spans="1:1" x14ac:dyDescent="0.3">
      <c r="A340"/>
    </row>
    <row r="341" spans="1:1" x14ac:dyDescent="0.3">
      <c r="A341"/>
    </row>
    <row r="342" spans="1:1" x14ac:dyDescent="0.3">
      <c r="A342"/>
    </row>
    <row r="343" spans="1:1" x14ac:dyDescent="0.3">
      <c r="A343"/>
    </row>
    <row r="344" spans="1:1" x14ac:dyDescent="0.3">
      <c r="A344"/>
    </row>
    <row r="345" spans="1:1" x14ac:dyDescent="0.3">
      <c r="A345"/>
    </row>
    <row r="346" spans="1:1" x14ac:dyDescent="0.3">
      <c r="A346"/>
    </row>
    <row r="347" spans="1:1" x14ac:dyDescent="0.3">
      <c r="A347"/>
    </row>
    <row r="348" spans="1:1" x14ac:dyDescent="0.3">
      <c r="A348"/>
    </row>
    <row r="349" spans="1:1" x14ac:dyDescent="0.3">
      <c r="A349"/>
    </row>
    <row r="350" spans="1:1" x14ac:dyDescent="0.3">
      <c r="A350"/>
    </row>
    <row r="351" spans="1:1" x14ac:dyDescent="0.3">
      <c r="A351"/>
    </row>
    <row r="352" spans="1:1" x14ac:dyDescent="0.3">
      <c r="A352"/>
    </row>
    <row r="353" spans="1:1" x14ac:dyDescent="0.3">
      <c r="A353"/>
    </row>
    <row r="354" spans="1:1" x14ac:dyDescent="0.3">
      <c r="A354"/>
    </row>
    <row r="355" spans="1:1" x14ac:dyDescent="0.3">
      <c r="A355"/>
    </row>
    <row r="356" spans="1:1" x14ac:dyDescent="0.3">
      <c r="A356"/>
    </row>
    <row r="357" spans="1:1" x14ac:dyDescent="0.3">
      <c r="A357"/>
    </row>
    <row r="358" spans="1:1" x14ac:dyDescent="0.3">
      <c r="A358"/>
    </row>
    <row r="359" spans="1:1" x14ac:dyDescent="0.3">
      <c r="A359"/>
    </row>
    <row r="360" spans="1:1" x14ac:dyDescent="0.3">
      <c r="A360"/>
    </row>
    <row r="361" spans="1:1" x14ac:dyDescent="0.3">
      <c r="A361"/>
    </row>
    <row r="362" spans="1:1" x14ac:dyDescent="0.3">
      <c r="A362"/>
    </row>
    <row r="363" spans="1:1" x14ac:dyDescent="0.3">
      <c r="A363"/>
    </row>
    <row r="364" spans="1:1" x14ac:dyDescent="0.3">
      <c r="A364"/>
    </row>
    <row r="365" spans="1:1" x14ac:dyDescent="0.3">
      <c r="A365"/>
    </row>
    <row r="366" spans="1:1" x14ac:dyDescent="0.3">
      <c r="A366"/>
    </row>
    <row r="367" spans="1:1" x14ac:dyDescent="0.3">
      <c r="A367"/>
    </row>
    <row r="368" spans="1:1" x14ac:dyDescent="0.3">
      <c r="A368"/>
    </row>
    <row r="369" spans="1:1" x14ac:dyDescent="0.3">
      <c r="A369"/>
    </row>
    <row r="370" spans="1:1" x14ac:dyDescent="0.3">
      <c r="A370"/>
    </row>
    <row r="371" spans="1:1" x14ac:dyDescent="0.3">
      <c r="A371"/>
    </row>
    <row r="372" spans="1:1" x14ac:dyDescent="0.3">
      <c r="A372"/>
    </row>
    <row r="373" spans="1:1" x14ac:dyDescent="0.3">
      <c r="A373"/>
    </row>
    <row r="374" spans="1:1" x14ac:dyDescent="0.3">
      <c r="A374"/>
    </row>
    <row r="375" spans="1:1" x14ac:dyDescent="0.3">
      <c r="A375"/>
    </row>
    <row r="376" spans="1:1" x14ac:dyDescent="0.3">
      <c r="A376"/>
    </row>
    <row r="377" spans="1:1" x14ac:dyDescent="0.3">
      <c r="A377"/>
    </row>
    <row r="378" spans="1:1" x14ac:dyDescent="0.3">
      <c r="A378"/>
    </row>
    <row r="379" spans="1:1" x14ac:dyDescent="0.3">
      <c r="A379"/>
    </row>
    <row r="380" spans="1:1" x14ac:dyDescent="0.3">
      <c r="A380"/>
    </row>
    <row r="381" spans="1:1" x14ac:dyDescent="0.3">
      <c r="A381"/>
    </row>
    <row r="382" spans="1:1" x14ac:dyDescent="0.3">
      <c r="A382"/>
    </row>
    <row r="383" spans="1:1" x14ac:dyDescent="0.3">
      <c r="A383"/>
    </row>
    <row r="384" spans="1:1" x14ac:dyDescent="0.3">
      <c r="A384"/>
    </row>
    <row r="385" spans="1:1" x14ac:dyDescent="0.3">
      <c r="A385"/>
    </row>
    <row r="386" spans="1:1" x14ac:dyDescent="0.3">
      <c r="A386"/>
    </row>
    <row r="387" spans="1:1" x14ac:dyDescent="0.3">
      <c r="A387"/>
    </row>
    <row r="388" spans="1:1" x14ac:dyDescent="0.3">
      <c r="A388"/>
    </row>
    <row r="389" spans="1:1" x14ac:dyDescent="0.3">
      <c r="A389"/>
    </row>
    <row r="390" spans="1:1" x14ac:dyDescent="0.3">
      <c r="A390"/>
    </row>
    <row r="391" spans="1:1" x14ac:dyDescent="0.3">
      <c r="A391"/>
    </row>
    <row r="392" spans="1:1" x14ac:dyDescent="0.3">
      <c r="A392"/>
    </row>
    <row r="393" spans="1:1" x14ac:dyDescent="0.3">
      <c r="A393"/>
    </row>
    <row r="394" spans="1:1" x14ac:dyDescent="0.3">
      <c r="A394"/>
    </row>
    <row r="395" spans="1:1" x14ac:dyDescent="0.3">
      <c r="A395"/>
    </row>
    <row r="396" spans="1:1" x14ac:dyDescent="0.3">
      <c r="A396"/>
    </row>
    <row r="397" spans="1:1" x14ac:dyDescent="0.3">
      <c r="A397"/>
    </row>
    <row r="398" spans="1:1" x14ac:dyDescent="0.3">
      <c r="A398"/>
    </row>
    <row r="399" spans="1:1" x14ac:dyDescent="0.3">
      <c r="A399"/>
    </row>
    <row r="400" spans="1:1" x14ac:dyDescent="0.3">
      <c r="A400"/>
    </row>
    <row r="401" spans="1:1" x14ac:dyDescent="0.3">
      <c r="A401"/>
    </row>
    <row r="402" spans="1:1" x14ac:dyDescent="0.3">
      <c r="A402"/>
    </row>
    <row r="403" spans="1:1" x14ac:dyDescent="0.3">
      <c r="A403"/>
    </row>
    <row r="404" spans="1:1" x14ac:dyDescent="0.3">
      <c r="A404"/>
    </row>
    <row r="405" spans="1:1" x14ac:dyDescent="0.3">
      <c r="A405"/>
    </row>
    <row r="406" spans="1:1" x14ac:dyDescent="0.3">
      <c r="A406"/>
    </row>
    <row r="407" spans="1:1" x14ac:dyDescent="0.3">
      <c r="A407"/>
    </row>
    <row r="408" spans="1:1" x14ac:dyDescent="0.3">
      <c r="A408"/>
    </row>
    <row r="409" spans="1:1" x14ac:dyDescent="0.3">
      <c r="A409"/>
    </row>
    <row r="410" spans="1:1" x14ac:dyDescent="0.3">
      <c r="A410"/>
    </row>
    <row r="411" spans="1:1" x14ac:dyDescent="0.3">
      <c r="A411"/>
    </row>
    <row r="412" spans="1:1" x14ac:dyDescent="0.3">
      <c r="A412"/>
    </row>
    <row r="413" spans="1:1" x14ac:dyDescent="0.3">
      <c r="A413"/>
    </row>
    <row r="414" spans="1:1" x14ac:dyDescent="0.3">
      <c r="A414"/>
    </row>
    <row r="415" spans="1:1" x14ac:dyDescent="0.3">
      <c r="A415"/>
    </row>
    <row r="416" spans="1:1" x14ac:dyDescent="0.3">
      <c r="A416"/>
    </row>
    <row r="417" spans="1:1" x14ac:dyDescent="0.3">
      <c r="A417"/>
    </row>
    <row r="418" spans="1:1" x14ac:dyDescent="0.3">
      <c r="A418"/>
    </row>
    <row r="419" spans="1:1" x14ac:dyDescent="0.3">
      <c r="A419"/>
    </row>
    <row r="420" spans="1:1" x14ac:dyDescent="0.3">
      <c r="A420"/>
    </row>
    <row r="421" spans="1:1" x14ac:dyDescent="0.3">
      <c r="A421"/>
    </row>
    <row r="422" spans="1:1" x14ac:dyDescent="0.3">
      <c r="A422"/>
    </row>
    <row r="423" spans="1:1" x14ac:dyDescent="0.3">
      <c r="A423"/>
    </row>
    <row r="424" spans="1:1" x14ac:dyDescent="0.3">
      <c r="A424"/>
    </row>
    <row r="425" spans="1:1" x14ac:dyDescent="0.3">
      <c r="A425"/>
    </row>
    <row r="426" spans="1:1" x14ac:dyDescent="0.3">
      <c r="A426"/>
    </row>
    <row r="427" spans="1:1" x14ac:dyDescent="0.3">
      <c r="A427"/>
    </row>
    <row r="428" spans="1:1" x14ac:dyDescent="0.3">
      <c r="A428"/>
    </row>
    <row r="429" spans="1:1" x14ac:dyDescent="0.3">
      <c r="A429"/>
    </row>
    <row r="430" spans="1:1" x14ac:dyDescent="0.3">
      <c r="A430"/>
    </row>
    <row r="431" spans="1:1" x14ac:dyDescent="0.3">
      <c r="A431"/>
    </row>
    <row r="432" spans="1:1" x14ac:dyDescent="0.3">
      <c r="A432"/>
    </row>
    <row r="433" spans="1:1" x14ac:dyDescent="0.3">
      <c r="A433"/>
    </row>
    <row r="434" spans="1:1" x14ac:dyDescent="0.3">
      <c r="A434"/>
    </row>
    <row r="435" spans="1:1" x14ac:dyDescent="0.3">
      <c r="A435"/>
    </row>
    <row r="436" spans="1:1" x14ac:dyDescent="0.3">
      <c r="A436"/>
    </row>
    <row r="437" spans="1:1" x14ac:dyDescent="0.3">
      <c r="A437"/>
    </row>
    <row r="438" spans="1:1" x14ac:dyDescent="0.3">
      <c r="A438"/>
    </row>
    <row r="439" spans="1:1" x14ac:dyDescent="0.3">
      <c r="A439"/>
    </row>
    <row r="440" spans="1:1" x14ac:dyDescent="0.3">
      <c r="A440"/>
    </row>
    <row r="441" spans="1:1" x14ac:dyDescent="0.3">
      <c r="A441"/>
    </row>
    <row r="442" spans="1:1" x14ac:dyDescent="0.3">
      <c r="A442"/>
    </row>
    <row r="443" spans="1:1" x14ac:dyDescent="0.3">
      <c r="A443"/>
    </row>
    <row r="444" spans="1:1" x14ac:dyDescent="0.3">
      <c r="A444"/>
    </row>
    <row r="445" spans="1:1" x14ac:dyDescent="0.3">
      <c r="A445"/>
    </row>
    <row r="446" spans="1:1" x14ac:dyDescent="0.3">
      <c r="A446"/>
    </row>
    <row r="447" spans="1:1" x14ac:dyDescent="0.3">
      <c r="A447"/>
    </row>
    <row r="448" spans="1:1" x14ac:dyDescent="0.3">
      <c r="A448"/>
    </row>
    <row r="449" spans="1:1" x14ac:dyDescent="0.3">
      <c r="A449"/>
    </row>
    <row r="450" spans="1:1" x14ac:dyDescent="0.3">
      <c r="A450"/>
    </row>
    <row r="451" spans="1:1" x14ac:dyDescent="0.3">
      <c r="A451"/>
    </row>
    <row r="452" spans="1:1" x14ac:dyDescent="0.3">
      <c r="A452"/>
    </row>
    <row r="453" spans="1:1" x14ac:dyDescent="0.3">
      <c r="A453"/>
    </row>
    <row r="454" spans="1:1" x14ac:dyDescent="0.3">
      <c r="A454"/>
    </row>
    <row r="455" spans="1:1" x14ac:dyDescent="0.3">
      <c r="A455"/>
    </row>
    <row r="456" spans="1:1" x14ac:dyDescent="0.3">
      <c r="A456"/>
    </row>
    <row r="457" spans="1:1" x14ac:dyDescent="0.3">
      <c r="A457"/>
    </row>
    <row r="458" spans="1:1" x14ac:dyDescent="0.3">
      <c r="A458"/>
    </row>
    <row r="459" spans="1:1" x14ac:dyDescent="0.3">
      <c r="A459"/>
    </row>
    <row r="460" spans="1:1" x14ac:dyDescent="0.3">
      <c r="A460"/>
    </row>
    <row r="461" spans="1:1" x14ac:dyDescent="0.3">
      <c r="A461"/>
    </row>
    <row r="462" spans="1:1" x14ac:dyDescent="0.3">
      <c r="A462"/>
    </row>
    <row r="463" spans="1:1" x14ac:dyDescent="0.3">
      <c r="A463"/>
    </row>
    <row r="464" spans="1:1" x14ac:dyDescent="0.3">
      <c r="A464"/>
    </row>
    <row r="465" spans="1:1" x14ac:dyDescent="0.3">
      <c r="A465"/>
    </row>
    <row r="466" spans="1:1" x14ac:dyDescent="0.3">
      <c r="A466"/>
    </row>
    <row r="467" spans="1:1" x14ac:dyDescent="0.3">
      <c r="A467"/>
    </row>
    <row r="468" spans="1:1" x14ac:dyDescent="0.3">
      <c r="A468"/>
    </row>
    <row r="469" spans="1:1" x14ac:dyDescent="0.3">
      <c r="A469"/>
    </row>
    <row r="470" spans="1:1" x14ac:dyDescent="0.3">
      <c r="A470"/>
    </row>
    <row r="471" spans="1:1" x14ac:dyDescent="0.3">
      <c r="A471"/>
    </row>
    <row r="472" spans="1:1" x14ac:dyDescent="0.3">
      <c r="A472"/>
    </row>
    <row r="473" spans="1:1" x14ac:dyDescent="0.3">
      <c r="A473"/>
    </row>
    <row r="474" spans="1:1" x14ac:dyDescent="0.3">
      <c r="A474"/>
    </row>
    <row r="475" spans="1:1" x14ac:dyDescent="0.3">
      <c r="A475"/>
    </row>
    <row r="476" spans="1:1" x14ac:dyDescent="0.3">
      <c r="A476"/>
    </row>
    <row r="477" spans="1:1" x14ac:dyDescent="0.3">
      <c r="A477"/>
    </row>
    <row r="478" spans="1:1" x14ac:dyDescent="0.3">
      <c r="A478"/>
    </row>
    <row r="479" spans="1:1" x14ac:dyDescent="0.3">
      <c r="A479"/>
    </row>
    <row r="480" spans="1:1" x14ac:dyDescent="0.3">
      <c r="A480"/>
    </row>
    <row r="481" spans="1:1" x14ac:dyDescent="0.3">
      <c r="A481"/>
    </row>
  </sheetData>
  <phoneticPr fontId="6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AFC53-B89B-40B7-B598-C7D19B9FF397}">
  <dimension ref="A1:M480"/>
  <sheetViews>
    <sheetView tabSelected="1" zoomScale="120" zoomScaleNormal="120" workbookViewId="0">
      <selection activeCell="H44" sqref="H44"/>
    </sheetView>
  </sheetViews>
  <sheetFormatPr baseColWidth="10" defaultRowHeight="14.4" x14ac:dyDescent="0.3"/>
  <cols>
    <col min="1" max="1" width="4.6640625" style="31" customWidth="1"/>
    <col min="2" max="2" width="4.33203125" customWidth="1"/>
    <col min="3" max="3" width="10" bestFit="1" customWidth="1"/>
    <col min="4" max="4" width="16.5546875" customWidth="1"/>
    <col min="5" max="7" width="8.77734375" customWidth="1"/>
    <col min="8" max="8" width="10.5546875" customWidth="1"/>
    <col min="9" max="9" width="20.44140625" customWidth="1"/>
    <col min="10" max="10" width="30.44140625" bestFit="1" customWidth="1"/>
    <col min="11" max="12" width="7.77734375" customWidth="1"/>
    <col min="13" max="13" width="8.5546875" bestFit="1" customWidth="1"/>
  </cols>
  <sheetData>
    <row r="1" spans="1:13" s="27" customFormat="1" ht="24.15" thickBot="1" x14ac:dyDescent="0.35">
      <c r="A1" s="33">
        <f>IF(Indicaciones!G18="","",SUM(A22:A29))</f>
        <v>0</v>
      </c>
      <c r="B1" s="26" t="s">
        <v>23</v>
      </c>
    </row>
    <row r="2" spans="1:13" s="30" customFormat="1" ht="14.55" thickTop="1" x14ac:dyDescent="0.3">
      <c r="A2" s="34"/>
      <c r="G2" s="32"/>
      <c r="H2" s="32"/>
    </row>
    <row r="3" spans="1:13" ht="13.95" x14ac:dyDescent="0.3">
      <c r="A3"/>
      <c r="C3" t="s">
        <v>90</v>
      </c>
      <c r="J3" t="s">
        <v>90</v>
      </c>
    </row>
    <row r="4" spans="1:13" x14ac:dyDescent="0.3">
      <c r="A4"/>
      <c r="C4" t="s">
        <v>51</v>
      </c>
      <c r="J4" s="74" t="s">
        <v>63</v>
      </c>
    </row>
    <row r="5" spans="1:13" x14ac:dyDescent="0.3">
      <c r="A5"/>
      <c r="C5" t="s">
        <v>54</v>
      </c>
      <c r="J5" s="74" t="s">
        <v>86</v>
      </c>
    </row>
    <row r="6" spans="1:13" ht="13.95" x14ac:dyDescent="0.3">
      <c r="A6"/>
      <c r="C6" t="s">
        <v>40</v>
      </c>
      <c r="J6" s="63" t="s">
        <v>40</v>
      </c>
    </row>
    <row r="7" spans="1:13" ht="13.95" x14ac:dyDescent="0.3">
      <c r="A7"/>
      <c r="E7" s="48">
        <v>2022</v>
      </c>
      <c r="F7" s="48">
        <v>2023</v>
      </c>
      <c r="G7" s="48">
        <v>2024</v>
      </c>
      <c r="J7" s="70" t="s">
        <v>64</v>
      </c>
      <c r="K7" s="66">
        <v>2022</v>
      </c>
      <c r="L7" s="66">
        <v>2023</v>
      </c>
      <c r="M7" s="66">
        <v>2024</v>
      </c>
    </row>
    <row r="8" spans="1:13" ht="13.95" x14ac:dyDescent="0.3">
      <c r="A8"/>
      <c r="C8" t="s">
        <v>52</v>
      </c>
      <c r="E8" s="61">
        <v>400000</v>
      </c>
      <c r="F8" s="61">
        <v>450000</v>
      </c>
      <c r="G8" s="61">
        <v>520000</v>
      </c>
      <c r="J8" s="68" t="s">
        <v>65</v>
      </c>
      <c r="K8" s="69"/>
      <c r="L8" s="69"/>
      <c r="M8" s="69"/>
    </row>
    <row r="9" spans="1:13" ht="13.95" x14ac:dyDescent="0.3">
      <c r="A9"/>
      <c r="C9" t="s">
        <v>109</v>
      </c>
      <c r="E9" s="61">
        <v>-240000</v>
      </c>
      <c r="F9" s="61">
        <v>-270000</v>
      </c>
      <c r="G9" s="61">
        <v>-320000</v>
      </c>
      <c r="J9" s="63" t="s">
        <v>88</v>
      </c>
      <c r="K9" s="64">
        <v>20000</v>
      </c>
      <c r="L9" s="64">
        <v>25000</v>
      </c>
      <c r="M9" s="64">
        <v>30000</v>
      </c>
    </row>
    <row r="10" spans="1:13" ht="13.95" x14ac:dyDescent="0.3">
      <c r="A10"/>
      <c r="C10" s="48" t="s">
        <v>55</v>
      </c>
      <c r="E10" s="60">
        <f>SUM(E8:E9)</f>
        <v>160000</v>
      </c>
      <c r="F10" s="60">
        <f t="shared" ref="F10:G10" si="0">SUM(F8:F9)</f>
        <v>180000</v>
      </c>
      <c r="G10" s="60">
        <f t="shared" si="0"/>
        <v>200000</v>
      </c>
      <c r="J10" s="63" t="s">
        <v>87</v>
      </c>
      <c r="K10" s="64">
        <v>35000</v>
      </c>
      <c r="L10" s="64">
        <v>45000</v>
      </c>
      <c r="M10" s="64">
        <v>60000</v>
      </c>
    </row>
    <row r="11" spans="1:13" ht="13.95" x14ac:dyDescent="0.3">
      <c r="A11"/>
      <c r="C11" t="s">
        <v>110</v>
      </c>
      <c r="E11" s="61">
        <v>-65000</v>
      </c>
      <c r="F11" s="61">
        <v>-75000</v>
      </c>
      <c r="G11" s="61">
        <v>-85000</v>
      </c>
      <c r="J11" s="63" t="s">
        <v>66</v>
      </c>
      <c r="K11" s="64">
        <v>70000</v>
      </c>
      <c r="L11" s="64">
        <v>80000</v>
      </c>
      <c r="M11" s="64">
        <v>95000</v>
      </c>
    </row>
    <row r="12" spans="1:13" ht="13.95" x14ac:dyDescent="0.3">
      <c r="A12"/>
      <c r="C12" s="48" t="s">
        <v>58</v>
      </c>
      <c r="E12" s="60">
        <f t="shared" ref="E12:F12" si="1">SUM(E10:E11)</f>
        <v>95000</v>
      </c>
      <c r="F12" s="60">
        <f t="shared" si="1"/>
        <v>105000</v>
      </c>
      <c r="G12" s="60">
        <f>SUM(G10:G11)</f>
        <v>115000</v>
      </c>
      <c r="J12" s="67" t="s">
        <v>67</v>
      </c>
      <c r="K12" s="65">
        <f>SUM(K9:K11)</f>
        <v>125000</v>
      </c>
      <c r="L12" s="65">
        <f t="shared" ref="L12:M12" si="2">SUM(L9:L11)</f>
        <v>150000</v>
      </c>
      <c r="M12" s="65">
        <f t="shared" si="2"/>
        <v>185000</v>
      </c>
    </row>
    <row r="13" spans="1:13" ht="13.95" x14ac:dyDescent="0.3">
      <c r="A13"/>
      <c r="C13" t="s">
        <v>113</v>
      </c>
      <c r="E13" s="61">
        <v>1000</v>
      </c>
      <c r="F13" s="61"/>
      <c r="G13" s="61"/>
      <c r="J13" s="68" t="s">
        <v>68</v>
      </c>
      <c r="K13" s="69"/>
      <c r="L13" s="69"/>
      <c r="M13" s="69"/>
    </row>
    <row r="14" spans="1:13" ht="13.95" x14ac:dyDescent="0.3">
      <c r="A14"/>
      <c r="C14" t="s">
        <v>111</v>
      </c>
      <c r="E14" s="61">
        <v>-12000</v>
      </c>
      <c r="F14" s="61">
        <v>-15000</v>
      </c>
      <c r="G14" s="61">
        <v>-18000</v>
      </c>
      <c r="J14" s="63" t="s">
        <v>69</v>
      </c>
      <c r="K14" s="64">
        <v>180000</v>
      </c>
      <c r="L14" s="64">
        <v>200000</v>
      </c>
      <c r="M14" s="64">
        <v>230000</v>
      </c>
    </row>
    <row r="15" spans="1:13" x14ac:dyDescent="0.3">
      <c r="A15"/>
      <c r="C15" s="48" t="s">
        <v>56</v>
      </c>
      <c r="E15" s="60">
        <f>SUM(E12:E14)</f>
        <v>84000</v>
      </c>
      <c r="F15" s="60">
        <f>SUM(F12:F14)</f>
        <v>90000</v>
      </c>
      <c r="G15" s="60">
        <f>SUM(G12:G14)</f>
        <v>97000</v>
      </c>
      <c r="J15" s="63" t="s">
        <v>70</v>
      </c>
      <c r="K15" s="64">
        <v>-30000</v>
      </c>
      <c r="L15" s="64">
        <v>-40000</v>
      </c>
      <c r="M15" s="64">
        <v>-55000</v>
      </c>
    </row>
    <row r="16" spans="1:13" ht="13.95" x14ac:dyDescent="0.3">
      <c r="A16"/>
      <c r="C16" t="s">
        <v>112</v>
      </c>
      <c r="E16" s="61">
        <f>-E15*29.5%</f>
        <v>-24780</v>
      </c>
      <c r="F16" s="61">
        <f>-F15*29.5%</f>
        <v>-26550</v>
      </c>
      <c r="G16" s="61">
        <f>-G15*29.5%</f>
        <v>-28615</v>
      </c>
      <c r="J16" s="67" t="s">
        <v>71</v>
      </c>
      <c r="K16" s="65">
        <f>SUM(K14:K15)</f>
        <v>150000</v>
      </c>
      <c r="L16" s="65">
        <f t="shared" ref="L16:M16" si="3">SUM(L14:L15)</f>
        <v>160000</v>
      </c>
      <c r="M16" s="65">
        <f t="shared" si="3"/>
        <v>175000</v>
      </c>
    </row>
    <row r="17" spans="1:13" ht="13.95" x14ac:dyDescent="0.3">
      <c r="A17"/>
      <c r="C17" s="48" t="s">
        <v>57</v>
      </c>
      <c r="E17" s="60">
        <f>SUM(E15:E16)</f>
        <v>59220</v>
      </c>
      <c r="F17" s="60">
        <f>SUM(F15:F16)</f>
        <v>63450</v>
      </c>
      <c r="G17" s="60">
        <f>SUM(G15:G16)</f>
        <v>68385</v>
      </c>
      <c r="J17" s="73" t="s">
        <v>72</v>
      </c>
      <c r="K17" s="72">
        <f>SUM(K16,K12)</f>
        <v>275000</v>
      </c>
      <c r="L17" s="72">
        <f t="shared" ref="L17:M17" si="4">SUM(L16,L12)</f>
        <v>310000</v>
      </c>
      <c r="M17" s="72">
        <f t="shared" si="4"/>
        <v>360000</v>
      </c>
    </row>
    <row r="18" spans="1:13" ht="13.95" x14ac:dyDescent="0.3">
      <c r="A18"/>
      <c r="C18" s="48"/>
      <c r="E18" s="60"/>
      <c r="F18" s="60"/>
      <c r="G18" s="60"/>
      <c r="J18" s="68" t="s">
        <v>73</v>
      </c>
      <c r="K18" s="69"/>
      <c r="L18" s="69"/>
      <c r="M18" s="69"/>
    </row>
    <row r="19" spans="1:13" ht="13.95" x14ac:dyDescent="0.3">
      <c r="A19"/>
      <c r="J19" s="63" t="s">
        <v>74</v>
      </c>
      <c r="K19" s="64">
        <v>35000</v>
      </c>
      <c r="L19" s="64">
        <v>40000</v>
      </c>
      <c r="M19" s="64">
        <v>55000</v>
      </c>
    </row>
    <row r="20" spans="1:13" ht="13.95" x14ac:dyDescent="0.3">
      <c r="A20"/>
      <c r="J20" s="63" t="s">
        <v>75</v>
      </c>
      <c r="K20" s="64">
        <v>15000</v>
      </c>
      <c r="L20" s="64">
        <v>20000</v>
      </c>
      <c r="M20" s="64">
        <v>25000</v>
      </c>
    </row>
    <row r="21" spans="1:13" x14ac:dyDescent="0.3">
      <c r="A21"/>
      <c r="B21" s="36" t="s">
        <v>8</v>
      </c>
      <c r="C21" t="s">
        <v>100</v>
      </c>
      <c r="J21" s="67" t="s">
        <v>76</v>
      </c>
      <c r="K21" s="65">
        <f t="shared" ref="K21:M21" si="5">SUM(K19:K20)</f>
        <v>50000</v>
      </c>
      <c r="L21" s="65">
        <f t="shared" si="5"/>
        <v>60000</v>
      </c>
      <c r="M21" s="65">
        <f t="shared" si="5"/>
        <v>80000</v>
      </c>
    </row>
    <row r="22" spans="1:13" x14ac:dyDescent="0.3">
      <c r="A22"/>
      <c r="C22" s="47">
        <v>0.25</v>
      </c>
      <c r="D22" t="s">
        <v>101</v>
      </c>
      <c r="J22" s="68" t="s">
        <v>77</v>
      </c>
      <c r="K22" s="69"/>
      <c r="L22" s="69"/>
      <c r="M22" s="69"/>
    </row>
    <row r="23" spans="1:13" x14ac:dyDescent="0.3">
      <c r="A23"/>
      <c r="C23" s="47">
        <v>0.25</v>
      </c>
      <c r="D23" s="50" t="s">
        <v>108</v>
      </c>
      <c r="H23" s="78"/>
      <c r="I23" s="78"/>
      <c r="J23" s="63" t="s">
        <v>78</v>
      </c>
      <c r="K23" s="64">
        <v>90000</v>
      </c>
      <c r="L23" s="64">
        <v>100000</v>
      </c>
      <c r="M23" s="64">
        <v>110000</v>
      </c>
    </row>
    <row r="24" spans="1:13" x14ac:dyDescent="0.3">
      <c r="A24"/>
      <c r="C24" s="47">
        <v>0.5</v>
      </c>
      <c r="D24" t="s">
        <v>106</v>
      </c>
      <c r="G24" s="77"/>
      <c r="H24" s="78"/>
      <c r="I24" s="78"/>
      <c r="J24" s="66" t="s">
        <v>79</v>
      </c>
      <c r="K24" s="65">
        <f>K23</f>
        <v>90000</v>
      </c>
      <c r="L24" s="65">
        <f t="shared" ref="L24:M24" si="6">L23</f>
        <v>100000</v>
      </c>
      <c r="M24" s="65">
        <f t="shared" si="6"/>
        <v>110000</v>
      </c>
    </row>
    <row r="25" spans="1:13" x14ac:dyDescent="0.3">
      <c r="A25"/>
      <c r="G25" s="77"/>
      <c r="H25" s="78"/>
      <c r="I25" s="78"/>
      <c r="J25" s="66" t="s">
        <v>80</v>
      </c>
      <c r="K25" s="65">
        <f>SUM(K24,K21)</f>
        <v>140000</v>
      </c>
      <c r="L25" s="65">
        <f t="shared" ref="L25:M25" si="7">SUM(L24,L21)</f>
        <v>160000</v>
      </c>
      <c r="M25" s="65">
        <f t="shared" si="7"/>
        <v>190000</v>
      </c>
    </row>
    <row r="26" spans="1:13" x14ac:dyDescent="0.3">
      <c r="A26"/>
      <c r="B26" s="62" t="s">
        <v>9</v>
      </c>
      <c r="C26" t="s">
        <v>102</v>
      </c>
      <c r="G26" s="40"/>
      <c r="H26" s="40"/>
      <c r="I26" s="40"/>
      <c r="J26" s="68" t="s">
        <v>81</v>
      </c>
      <c r="K26" s="69"/>
      <c r="L26" s="69"/>
      <c r="M26" s="69"/>
    </row>
    <row r="27" spans="1:13" x14ac:dyDescent="0.3">
      <c r="A27"/>
      <c r="C27" s="47">
        <v>0.25</v>
      </c>
      <c r="D27" t="s">
        <v>103</v>
      </c>
      <c r="G27" s="40"/>
      <c r="H27" s="40"/>
      <c r="I27" s="40"/>
      <c r="J27" s="63" t="s">
        <v>82</v>
      </c>
      <c r="K27" s="64">
        <v>110000</v>
      </c>
      <c r="L27" s="64">
        <v>120000</v>
      </c>
      <c r="M27" s="64">
        <v>130000</v>
      </c>
    </row>
    <row r="28" spans="1:13" x14ac:dyDescent="0.3">
      <c r="A28"/>
      <c r="C28" s="47">
        <v>0.25</v>
      </c>
      <c r="D28" s="50" t="s">
        <v>114</v>
      </c>
      <c r="H28" s="78"/>
      <c r="I28" s="78"/>
      <c r="J28" s="63" t="s">
        <v>83</v>
      </c>
      <c r="K28" s="64">
        <f>E17</f>
        <v>59220</v>
      </c>
      <c r="L28" s="64">
        <f t="shared" ref="L28" si="8">F17</f>
        <v>63450</v>
      </c>
      <c r="M28" s="64">
        <f>G17</f>
        <v>68385</v>
      </c>
    </row>
    <row r="29" spans="1:13" x14ac:dyDescent="0.3">
      <c r="A29"/>
      <c r="C29" s="47">
        <v>0.5</v>
      </c>
      <c r="D29" t="s">
        <v>106</v>
      </c>
      <c r="G29" s="77"/>
      <c r="H29" s="78"/>
      <c r="I29" s="78"/>
      <c r="J29" s="63" t="s">
        <v>89</v>
      </c>
      <c r="K29" s="64">
        <v>-75780</v>
      </c>
      <c r="L29" s="64">
        <v>-86550</v>
      </c>
      <c r="M29" s="64">
        <v>-101615</v>
      </c>
    </row>
    <row r="30" spans="1:13" x14ac:dyDescent="0.3">
      <c r="A30"/>
      <c r="G30" s="77"/>
      <c r="H30" s="78"/>
      <c r="I30" s="78"/>
      <c r="J30" s="66" t="s">
        <v>84</v>
      </c>
      <c r="K30" s="65">
        <v>135000</v>
      </c>
      <c r="L30" s="65">
        <v>150000</v>
      </c>
      <c r="M30" s="65">
        <v>170000</v>
      </c>
    </row>
    <row r="31" spans="1:13" x14ac:dyDescent="0.3">
      <c r="A31"/>
      <c r="C31" t="s">
        <v>115</v>
      </c>
      <c r="J31" s="71" t="s">
        <v>85</v>
      </c>
      <c r="K31" s="72">
        <v>275000</v>
      </c>
      <c r="L31" s="72">
        <v>310000</v>
      </c>
      <c r="M31" s="72">
        <v>360000</v>
      </c>
    </row>
    <row r="32" spans="1:13" x14ac:dyDescent="0.3">
      <c r="A32"/>
      <c r="C32" t="s">
        <v>128</v>
      </c>
      <c r="E32" s="88">
        <f>G8/$G$8</f>
        <v>1</v>
      </c>
      <c r="G32" t="s">
        <v>135</v>
      </c>
    </row>
    <row r="33" spans="1:7" x14ac:dyDescent="0.3">
      <c r="A33"/>
      <c r="C33" t="s">
        <v>129</v>
      </c>
      <c r="E33" s="88">
        <f>-G9/$G$8</f>
        <v>0.61538461538461542</v>
      </c>
      <c r="G33" s="86"/>
    </row>
    <row r="34" spans="1:7" x14ac:dyDescent="0.3">
      <c r="A34"/>
      <c r="C34" t="s">
        <v>110</v>
      </c>
      <c r="E34" s="88">
        <f>-G11/$G$8</f>
        <v>0.16346153846153846</v>
      </c>
      <c r="G34" s="87" t="s">
        <v>136</v>
      </c>
    </row>
    <row r="35" spans="1:7" x14ac:dyDescent="0.3">
      <c r="A35"/>
      <c r="C35" t="s">
        <v>111</v>
      </c>
      <c r="E35" s="88">
        <f>-G14/$G$8</f>
        <v>3.4615384615384617E-2</v>
      </c>
    </row>
    <row r="36" spans="1:7" x14ac:dyDescent="0.3">
      <c r="A36"/>
      <c r="C36" t="s">
        <v>130</v>
      </c>
      <c r="E36" s="88">
        <f>-G16/$G$8</f>
        <v>5.502884615384615E-2</v>
      </c>
    </row>
    <row r="37" spans="1:7" x14ac:dyDescent="0.3">
      <c r="A37"/>
      <c r="E37" s="85"/>
    </row>
    <row r="38" spans="1:7" x14ac:dyDescent="0.3">
      <c r="A38"/>
      <c r="C38" t="s">
        <v>118</v>
      </c>
      <c r="E38" s="85"/>
    </row>
    <row r="39" spans="1:7" x14ac:dyDescent="0.3">
      <c r="A39"/>
      <c r="E39" s="85"/>
    </row>
    <row r="40" spans="1:7" x14ac:dyDescent="0.3">
      <c r="A40"/>
      <c r="C40" t="s">
        <v>88</v>
      </c>
      <c r="E40" s="88">
        <f>(M9-K9)/K9</f>
        <v>0.5</v>
      </c>
      <c r="G40" t="s">
        <v>137</v>
      </c>
    </row>
    <row r="41" spans="1:7" x14ac:dyDescent="0.3">
      <c r="A41"/>
      <c r="C41" t="s">
        <v>131</v>
      </c>
      <c r="E41" s="88">
        <f t="shared" ref="E41:E42" si="9">(M10-K10)/K10</f>
        <v>0.7142857142857143</v>
      </c>
      <c r="G41" s="86"/>
    </row>
    <row r="42" spans="1:7" x14ac:dyDescent="0.3">
      <c r="A42"/>
      <c r="C42" t="s">
        <v>66</v>
      </c>
      <c r="E42" s="88">
        <f t="shared" si="9"/>
        <v>0.35714285714285715</v>
      </c>
      <c r="G42" s="87" t="s">
        <v>138</v>
      </c>
    </row>
    <row r="43" spans="1:7" x14ac:dyDescent="0.3">
      <c r="A43"/>
      <c r="C43" t="s">
        <v>132</v>
      </c>
      <c r="E43" s="88">
        <f>(M14-K14)/K14</f>
        <v>0.27777777777777779</v>
      </c>
    </row>
    <row r="44" spans="1:7" x14ac:dyDescent="0.3">
      <c r="A44"/>
      <c r="C44" t="s">
        <v>131</v>
      </c>
      <c r="E44" s="88">
        <f>(M19-K19)/K19</f>
        <v>0.5714285714285714</v>
      </c>
    </row>
    <row r="45" spans="1:7" x14ac:dyDescent="0.3">
      <c r="A45"/>
      <c r="C45" t="s">
        <v>133</v>
      </c>
      <c r="E45" s="88">
        <f>(M23-K23)/K23</f>
        <v>0.22222222222222221</v>
      </c>
    </row>
    <row r="46" spans="1:7" x14ac:dyDescent="0.3">
      <c r="A46"/>
      <c r="C46" t="s">
        <v>134</v>
      </c>
      <c r="E46" s="88">
        <f>(M27-K27)/K27</f>
        <v>0.18181818181818182</v>
      </c>
    </row>
    <row r="47" spans="1:7" x14ac:dyDescent="0.3">
      <c r="A47"/>
    </row>
    <row r="48" spans="1:7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x14ac:dyDescent="0.3">
      <c r="A107"/>
    </row>
    <row r="108" spans="1:1" x14ac:dyDescent="0.3">
      <c r="A108"/>
    </row>
    <row r="109" spans="1:1" x14ac:dyDescent="0.3">
      <c r="A109"/>
    </row>
    <row r="110" spans="1:1" x14ac:dyDescent="0.3">
      <c r="A110"/>
    </row>
    <row r="111" spans="1:1" x14ac:dyDescent="0.3">
      <c r="A111"/>
    </row>
    <row r="112" spans="1:1" x14ac:dyDescent="0.3">
      <c r="A112"/>
    </row>
    <row r="113" spans="1:1" x14ac:dyDescent="0.3">
      <c r="A113"/>
    </row>
    <row r="114" spans="1:1" x14ac:dyDescent="0.3">
      <c r="A114"/>
    </row>
    <row r="115" spans="1:1" x14ac:dyDescent="0.3">
      <c r="A115"/>
    </row>
    <row r="116" spans="1:1" x14ac:dyDescent="0.3">
      <c r="A116"/>
    </row>
    <row r="117" spans="1:1" x14ac:dyDescent="0.3">
      <c r="A117"/>
    </row>
    <row r="118" spans="1:1" x14ac:dyDescent="0.3">
      <c r="A118"/>
    </row>
    <row r="119" spans="1:1" x14ac:dyDescent="0.3">
      <c r="A119"/>
    </row>
    <row r="120" spans="1:1" x14ac:dyDescent="0.3">
      <c r="A120"/>
    </row>
    <row r="121" spans="1:1" x14ac:dyDescent="0.3">
      <c r="A121"/>
    </row>
    <row r="122" spans="1:1" x14ac:dyDescent="0.3">
      <c r="A122"/>
    </row>
    <row r="123" spans="1:1" x14ac:dyDescent="0.3">
      <c r="A123"/>
    </row>
    <row r="124" spans="1:1" x14ac:dyDescent="0.3">
      <c r="A124"/>
    </row>
    <row r="125" spans="1:1" x14ac:dyDescent="0.3">
      <c r="A125"/>
    </row>
    <row r="126" spans="1:1" x14ac:dyDescent="0.3">
      <c r="A126"/>
    </row>
    <row r="127" spans="1:1" x14ac:dyDescent="0.3">
      <c r="A127"/>
    </row>
    <row r="128" spans="1:1" x14ac:dyDescent="0.3">
      <c r="A128"/>
    </row>
    <row r="129" spans="1:1" x14ac:dyDescent="0.3">
      <c r="A129"/>
    </row>
    <row r="130" spans="1:1" x14ac:dyDescent="0.3">
      <c r="A130"/>
    </row>
    <row r="131" spans="1:1" x14ac:dyDescent="0.3">
      <c r="A131"/>
    </row>
    <row r="132" spans="1:1" x14ac:dyDescent="0.3">
      <c r="A132"/>
    </row>
    <row r="133" spans="1:1" x14ac:dyDescent="0.3">
      <c r="A133"/>
    </row>
    <row r="134" spans="1:1" x14ac:dyDescent="0.3">
      <c r="A134"/>
    </row>
    <row r="135" spans="1:1" x14ac:dyDescent="0.3">
      <c r="A135"/>
    </row>
    <row r="136" spans="1:1" x14ac:dyDescent="0.3">
      <c r="A136"/>
    </row>
    <row r="137" spans="1:1" x14ac:dyDescent="0.3">
      <c r="A137"/>
    </row>
    <row r="138" spans="1:1" x14ac:dyDescent="0.3">
      <c r="A138"/>
    </row>
    <row r="139" spans="1:1" x14ac:dyDescent="0.3">
      <c r="A139"/>
    </row>
    <row r="140" spans="1:1" x14ac:dyDescent="0.3">
      <c r="A140"/>
    </row>
    <row r="141" spans="1:1" x14ac:dyDescent="0.3">
      <c r="A141"/>
    </row>
    <row r="142" spans="1:1" x14ac:dyDescent="0.3">
      <c r="A142"/>
    </row>
    <row r="143" spans="1:1" x14ac:dyDescent="0.3">
      <c r="A143"/>
    </row>
    <row r="144" spans="1:1" x14ac:dyDescent="0.3">
      <c r="A144"/>
    </row>
    <row r="145" spans="1:1" x14ac:dyDescent="0.3">
      <c r="A145"/>
    </row>
    <row r="146" spans="1:1" x14ac:dyDescent="0.3">
      <c r="A146"/>
    </row>
    <row r="147" spans="1:1" x14ac:dyDescent="0.3">
      <c r="A147"/>
    </row>
    <row r="148" spans="1:1" x14ac:dyDescent="0.3">
      <c r="A148"/>
    </row>
    <row r="149" spans="1:1" x14ac:dyDescent="0.3">
      <c r="A149"/>
    </row>
    <row r="150" spans="1:1" x14ac:dyDescent="0.3">
      <c r="A150"/>
    </row>
    <row r="151" spans="1:1" x14ac:dyDescent="0.3">
      <c r="A151"/>
    </row>
    <row r="152" spans="1:1" x14ac:dyDescent="0.3">
      <c r="A152"/>
    </row>
    <row r="153" spans="1:1" x14ac:dyDescent="0.3">
      <c r="A153"/>
    </row>
    <row r="154" spans="1:1" x14ac:dyDescent="0.3">
      <c r="A154"/>
    </row>
    <row r="155" spans="1:1" x14ac:dyDescent="0.3">
      <c r="A155"/>
    </row>
    <row r="156" spans="1:1" x14ac:dyDescent="0.3">
      <c r="A156"/>
    </row>
    <row r="157" spans="1:1" x14ac:dyDescent="0.3">
      <c r="A157"/>
    </row>
    <row r="158" spans="1:1" x14ac:dyDescent="0.3">
      <c r="A158"/>
    </row>
    <row r="159" spans="1:1" x14ac:dyDescent="0.3">
      <c r="A159"/>
    </row>
    <row r="160" spans="1:1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  <row r="166" spans="1:1" x14ac:dyDescent="0.3">
      <c r="A166"/>
    </row>
    <row r="167" spans="1:1" x14ac:dyDescent="0.3">
      <c r="A167"/>
    </row>
    <row r="168" spans="1:1" x14ac:dyDescent="0.3">
      <c r="A168"/>
    </row>
    <row r="169" spans="1:1" x14ac:dyDescent="0.3">
      <c r="A169"/>
    </row>
    <row r="170" spans="1:1" x14ac:dyDescent="0.3">
      <c r="A170"/>
    </row>
    <row r="171" spans="1:1" x14ac:dyDescent="0.3">
      <c r="A171"/>
    </row>
    <row r="172" spans="1:1" x14ac:dyDescent="0.3">
      <c r="A172"/>
    </row>
    <row r="173" spans="1:1" x14ac:dyDescent="0.3">
      <c r="A173"/>
    </row>
    <row r="174" spans="1:1" x14ac:dyDescent="0.3">
      <c r="A174"/>
    </row>
    <row r="175" spans="1:1" x14ac:dyDescent="0.3">
      <c r="A175"/>
    </row>
    <row r="176" spans="1:1" x14ac:dyDescent="0.3">
      <c r="A176"/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  <row r="184" spans="1:1" x14ac:dyDescent="0.3">
      <c r="A184"/>
    </row>
    <row r="185" spans="1:1" x14ac:dyDescent="0.3">
      <c r="A185"/>
    </row>
    <row r="186" spans="1:1" x14ac:dyDescent="0.3">
      <c r="A186"/>
    </row>
    <row r="187" spans="1:1" x14ac:dyDescent="0.3">
      <c r="A187"/>
    </row>
    <row r="188" spans="1:1" x14ac:dyDescent="0.3">
      <c r="A188"/>
    </row>
    <row r="189" spans="1:1" x14ac:dyDescent="0.3">
      <c r="A189"/>
    </row>
    <row r="190" spans="1:1" x14ac:dyDescent="0.3">
      <c r="A190"/>
    </row>
    <row r="191" spans="1:1" x14ac:dyDescent="0.3">
      <c r="A191"/>
    </row>
    <row r="192" spans="1:1" x14ac:dyDescent="0.3">
      <c r="A192"/>
    </row>
    <row r="193" spans="1:1" x14ac:dyDescent="0.3">
      <c r="A193"/>
    </row>
    <row r="194" spans="1:1" x14ac:dyDescent="0.3">
      <c r="A194"/>
    </row>
    <row r="195" spans="1:1" x14ac:dyDescent="0.3">
      <c r="A195"/>
    </row>
    <row r="196" spans="1:1" x14ac:dyDescent="0.3">
      <c r="A196"/>
    </row>
    <row r="197" spans="1:1" x14ac:dyDescent="0.3">
      <c r="A197"/>
    </row>
    <row r="198" spans="1:1" x14ac:dyDescent="0.3">
      <c r="A198"/>
    </row>
    <row r="199" spans="1:1" x14ac:dyDescent="0.3">
      <c r="A199"/>
    </row>
    <row r="200" spans="1:1" x14ac:dyDescent="0.3">
      <c r="A200"/>
    </row>
    <row r="201" spans="1:1" x14ac:dyDescent="0.3">
      <c r="A201"/>
    </row>
    <row r="202" spans="1:1" x14ac:dyDescent="0.3">
      <c r="A202"/>
    </row>
    <row r="203" spans="1:1" x14ac:dyDescent="0.3">
      <c r="A203"/>
    </row>
    <row r="204" spans="1:1" x14ac:dyDescent="0.3">
      <c r="A204"/>
    </row>
    <row r="205" spans="1:1" x14ac:dyDescent="0.3">
      <c r="A205"/>
    </row>
    <row r="206" spans="1:1" x14ac:dyDescent="0.3">
      <c r="A206"/>
    </row>
    <row r="207" spans="1:1" x14ac:dyDescent="0.3">
      <c r="A207"/>
    </row>
    <row r="208" spans="1:1" x14ac:dyDescent="0.3">
      <c r="A208"/>
    </row>
    <row r="209" spans="1:1" x14ac:dyDescent="0.3">
      <c r="A209"/>
    </row>
    <row r="210" spans="1:1" x14ac:dyDescent="0.3">
      <c r="A210"/>
    </row>
    <row r="211" spans="1:1" x14ac:dyDescent="0.3">
      <c r="A211"/>
    </row>
    <row r="212" spans="1:1" x14ac:dyDescent="0.3">
      <c r="A212"/>
    </row>
    <row r="213" spans="1:1" x14ac:dyDescent="0.3">
      <c r="A213"/>
    </row>
    <row r="214" spans="1:1" x14ac:dyDescent="0.3">
      <c r="A214"/>
    </row>
    <row r="215" spans="1:1" x14ac:dyDescent="0.3">
      <c r="A215"/>
    </row>
    <row r="216" spans="1:1" x14ac:dyDescent="0.3">
      <c r="A216"/>
    </row>
    <row r="217" spans="1:1" x14ac:dyDescent="0.3">
      <c r="A217"/>
    </row>
    <row r="218" spans="1:1" x14ac:dyDescent="0.3">
      <c r="A218"/>
    </row>
    <row r="219" spans="1:1" x14ac:dyDescent="0.3">
      <c r="A219"/>
    </row>
    <row r="220" spans="1:1" x14ac:dyDescent="0.3">
      <c r="A220"/>
    </row>
    <row r="221" spans="1:1" x14ac:dyDescent="0.3">
      <c r="A221"/>
    </row>
    <row r="222" spans="1:1" x14ac:dyDescent="0.3">
      <c r="A222"/>
    </row>
    <row r="223" spans="1:1" x14ac:dyDescent="0.3">
      <c r="A223"/>
    </row>
    <row r="224" spans="1:1" x14ac:dyDescent="0.3">
      <c r="A224"/>
    </row>
    <row r="225" spans="1:1" x14ac:dyDescent="0.3">
      <c r="A225"/>
    </row>
    <row r="226" spans="1:1" x14ac:dyDescent="0.3">
      <c r="A226"/>
    </row>
    <row r="227" spans="1:1" x14ac:dyDescent="0.3">
      <c r="A227"/>
    </row>
    <row r="228" spans="1:1" x14ac:dyDescent="0.3">
      <c r="A228"/>
    </row>
    <row r="229" spans="1:1" x14ac:dyDescent="0.3">
      <c r="A229"/>
    </row>
    <row r="230" spans="1:1" x14ac:dyDescent="0.3">
      <c r="A230"/>
    </row>
    <row r="231" spans="1:1" x14ac:dyDescent="0.3">
      <c r="A231"/>
    </row>
    <row r="232" spans="1:1" x14ac:dyDescent="0.3">
      <c r="A232"/>
    </row>
    <row r="233" spans="1:1" x14ac:dyDescent="0.3">
      <c r="A233"/>
    </row>
    <row r="234" spans="1:1" x14ac:dyDescent="0.3">
      <c r="A234"/>
    </row>
    <row r="235" spans="1:1" x14ac:dyDescent="0.3">
      <c r="A235"/>
    </row>
    <row r="236" spans="1:1" x14ac:dyDescent="0.3">
      <c r="A236"/>
    </row>
    <row r="237" spans="1:1" x14ac:dyDescent="0.3">
      <c r="A237"/>
    </row>
    <row r="238" spans="1:1" x14ac:dyDescent="0.3">
      <c r="A238"/>
    </row>
    <row r="239" spans="1:1" x14ac:dyDescent="0.3">
      <c r="A239"/>
    </row>
    <row r="240" spans="1:1" x14ac:dyDescent="0.3">
      <c r="A240"/>
    </row>
    <row r="241" spans="1:1" x14ac:dyDescent="0.3">
      <c r="A241"/>
    </row>
    <row r="242" spans="1:1" x14ac:dyDescent="0.3">
      <c r="A242"/>
    </row>
    <row r="243" spans="1:1" x14ac:dyDescent="0.3">
      <c r="A243"/>
    </row>
    <row r="244" spans="1:1" x14ac:dyDescent="0.3">
      <c r="A244"/>
    </row>
    <row r="245" spans="1:1" x14ac:dyDescent="0.3">
      <c r="A245"/>
    </row>
    <row r="246" spans="1:1" x14ac:dyDescent="0.3">
      <c r="A246"/>
    </row>
    <row r="247" spans="1:1" x14ac:dyDescent="0.3">
      <c r="A247"/>
    </row>
    <row r="248" spans="1:1" x14ac:dyDescent="0.3">
      <c r="A248"/>
    </row>
    <row r="249" spans="1:1" x14ac:dyDescent="0.3">
      <c r="A249"/>
    </row>
    <row r="250" spans="1:1" x14ac:dyDescent="0.3">
      <c r="A250"/>
    </row>
    <row r="251" spans="1:1" x14ac:dyDescent="0.3">
      <c r="A251"/>
    </row>
    <row r="252" spans="1:1" x14ac:dyDescent="0.3">
      <c r="A252"/>
    </row>
    <row r="253" spans="1:1" x14ac:dyDescent="0.3">
      <c r="A253"/>
    </row>
    <row r="254" spans="1:1" x14ac:dyDescent="0.3">
      <c r="A254"/>
    </row>
    <row r="255" spans="1:1" x14ac:dyDescent="0.3">
      <c r="A255"/>
    </row>
    <row r="256" spans="1:1" x14ac:dyDescent="0.3">
      <c r="A256"/>
    </row>
    <row r="257" spans="1:1" x14ac:dyDescent="0.3">
      <c r="A257"/>
    </row>
    <row r="258" spans="1:1" x14ac:dyDescent="0.3">
      <c r="A258"/>
    </row>
    <row r="259" spans="1:1" x14ac:dyDescent="0.3">
      <c r="A259"/>
    </row>
    <row r="260" spans="1:1" x14ac:dyDescent="0.3">
      <c r="A260"/>
    </row>
    <row r="261" spans="1:1" x14ac:dyDescent="0.3">
      <c r="A261"/>
    </row>
    <row r="262" spans="1:1" x14ac:dyDescent="0.3">
      <c r="A262"/>
    </row>
    <row r="263" spans="1:1" x14ac:dyDescent="0.3">
      <c r="A263"/>
    </row>
    <row r="264" spans="1:1" x14ac:dyDescent="0.3">
      <c r="A264"/>
    </row>
    <row r="265" spans="1:1" x14ac:dyDescent="0.3">
      <c r="A265"/>
    </row>
    <row r="266" spans="1:1" x14ac:dyDescent="0.3">
      <c r="A266"/>
    </row>
    <row r="267" spans="1:1" x14ac:dyDescent="0.3">
      <c r="A267"/>
    </row>
    <row r="268" spans="1:1" x14ac:dyDescent="0.3">
      <c r="A268"/>
    </row>
    <row r="269" spans="1:1" x14ac:dyDescent="0.3">
      <c r="A269"/>
    </row>
    <row r="270" spans="1:1" x14ac:dyDescent="0.3">
      <c r="A270"/>
    </row>
    <row r="271" spans="1:1" x14ac:dyDescent="0.3">
      <c r="A271"/>
    </row>
    <row r="272" spans="1:1" x14ac:dyDescent="0.3">
      <c r="A272"/>
    </row>
    <row r="273" spans="1:1" x14ac:dyDescent="0.3">
      <c r="A273"/>
    </row>
    <row r="274" spans="1:1" x14ac:dyDescent="0.3">
      <c r="A274"/>
    </row>
    <row r="275" spans="1:1" x14ac:dyDescent="0.3">
      <c r="A275"/>
    </row>
    <row r="276" spans="1:1" x14ac:dyDescent="0.3">
      <c r="A276"/>
    </row>
    <row r="277" spans="1:1" x14ac:dyDescent="0.3">
      <c r="A277"/>
    </row>
    <row r="278" spans="1:1" x14ac:dyDescent="0.3">
      <c r="A278"/>
    </row>
    <row r="279" spans="1:1" x14ac:dyDescent="0.3">
      <c r="A279"/>
    </row>
    <row r="280" spans="1:1" x14ac:dyDescent="0.3">
      <c r="A280"/>
    </row>
    <row r="281" spans="1:1" x14ac:dyDescent="0.3">
      <c r="A281"/>
    </row>
    <row r="282" spans="1:1" x14ac:dyDescent="0.3">
      <c r="A282"/>
    </row>
    <row r="283" spans="1:1" x14ac:dyDescent="0.3">
      <c r="A283"/>
    </row>
    <row r="284" spans="1:1" x14ac:dyDescent="0.3">
      <c r="A284"/>
    </row>
    <row r="285" spans="1:1" x14ac:dyDescent="0.3">
      <c r="A285"/>
    </row>
    <row r="286" spans="1:1" x14ac:dyDescent="0.3">
      <c r="A286"/>
    </row>
    <row r="287" spans="1:1" x14ac:dyDescent="0.3">
      <c r="A287"/>
    </row>
    <row r="288" spans="1:1" x14ac:dyDescent="0.3">
      <c r="A288"/>
    </row>
    <row r="289" spans="1:1" x14ac:dyDescent="0.3">
      <c r="A289"/>
    </row>
    <row r="290" spans="1:1" x14ac:dyDescent="0.3">
      <c r="A290"/>
    </row>
    <row r="291" spans="1:1" x14ac:dyDescent="0.3">
      <c r="A291"/>
    </row>
    <row r="292" spans="1:1" x14ac:dyDescent="0.3">
      <c r="A292"/>
    </row>
    <row r="293" spans="1:1" x14ac:dyDescent="0.3">
      <c r="A293"/>
    </row>
    <row r="294" spans="1:1" x14ac:dyDescent="0.3">
      <c r="A294"/>
    </row>
    <row r="295" spans="1:1" x14ac:dyDescent="0.3">
      <c r="A295"/>
    </row>
    <row r="296" spans="1:1" x14ac:dyDescent="0.3">
      <c r="A296"/>
    </row>
    <row r="297" spans="1:1" x14ac:dyDescent="0.3">
      <c r="A297"/>
    </row>
    <row r="298" spans="1:1" x14ac:dyDescent="0.3">
      <c r="A298"/>
    </row>
    <row r="299" spans="1:1" x14ac:dyDescent="0.3">
      <c r="A299"/>
    </row>
    <row r="300" spans="1:1" x14ac:dyDescent="0.3">
      <c r="A300"/>
    </row>
    <row r="301" spans="1:1" x14ac:dyDescent="0.3">
      <c r="A301"/>
    </row>
    <row r="302" spans="1:1" x14ac:dyDescent="0.3">
      <c r="A302"/>
    </row>
    <row r="303" spans="1:1" x14ac:dyDescent="0.3">
      <c r="A303"/>
    </row>
    <row r="304" spans="1:1" x14ac:dyDescent="0.3">
      <c r="A304"/>
    </row>
    <row r="305" spans="1:1" x14ac:dyDescent="0.3">
      <c r="A305"/>
    </row>
    <row r="306" spans="1:1" x14ac:dyDescent="0.3">
      <c r="A306"/>
    </row>
    <row r="307" spans="1:1" x14ac:dyDescent="0.3">
      <c r="A307"/>
    </row>
    <row r="308" spans="1:1" x14ac:dyDescent="0.3">
      <c r="A308"/>
    </row>
    <row r="309" spans="1:1" x14ac:dyDescent="0.3">
      <c r="A309"/>
    </row>
    <row r="310" spans="1:1" x14ac:dyDescent="0.3">
      <c r="A310"/>
    </row>
    <row r="311" spans="1:1" x14ac:dyDescent="0.3">
      <c r="A311"/>
    </row>
    <row r="312" spans="1:1" x14ac:dyDescent="0.3">
      <c r="A312"/>
    </row>
    <row r="313" spans="1:1" x14ac:dyDescent="0.3">
      <c r="A313"/>
    </row>
    <row r="314" spans="1:1" x14ac:dyDescent="0.3">
      <c r="A314"/>
    </row>
    <row r="315" spans="1:1" x14ac:dyDescent="0.3">
      <c r="A315"/>
    </row>
    <row r="316" spans="1:1" x14ac:dyDescent="0.3">
      <c r="A316"/>
    </row>
    <row r="317" spans="1:1" x14ac:dyDescent="0.3">
      <c r="A317"/>
    </row>
    <row r="318" spans="1:1" x14ac:dyDescent="0.3">
      <c r="A318"/>
    </row>
    <row r="319" spans="1:1" x14ac:dyDescent="0.3">
      <c r="A319"/>
    </row>
    <row r="320" spans="1:1" x14ac:dyDescent="0.3">
      <c r="A320"/>
    </row>
    <row r="321" spans="1:1" x14ac:dyDescent="0.3">
      <c r="A321"/>
    </row>
    <row r="322" spans="1:1" x14ac:dyDescent="0.3">
      <c r="A322"/>
    </row>
    <row r="323" spans="1:1" x14ac:dyDescent="0.3">
      <c r="A323"/>
    </row>
    <row r="324" spans="1:1" x14ac:dyDescent="0.3">
      <c r="A324"/>
    </row>
    <row r="325" spans="1:1" x14ac:dyDescent="0.3">
      <c r="A325"/>
    </row>
    <row r="326" spans="1:1" x14ac:dyDescent="0.3">
      <c r="A326"/>
    </row>
    <row r="327" spans="1:1" x14ac:dyDescent="0.3">
      <c r="A327"/>
    </row>
    <row r="328" spans="1:1" x14ac:dyDescent="0.3">
      <c r="A328"/>
    </row>
    <row r="329" spans="1:1" x14ac:dyDescent="0.3">
      <c r="A329"/>
    </row>
    <row r="330" spans="1:1" x14ac:dyDescent="0.3">
      <c r="A330"/>
    </row>
    <row r="331" spans="1:1" x14ac:dyDescent="0.3">
      <c r="A331"/>
    </row>
    <row r="332" spans="1:1" x14ac:dyDescent="0.3">
      <c r="A332"/>
    </row>
    <row r="333" spans="1:1" x14ac:dyDescent="0.3">
      <c r="A333"/>
    </row>
    <row r="334" spans="1:1" x14ac:dyDescent="0.3">
      <c r="A334"/>
    </row>
    <row r="335" spans="1:1" x14ac:dyDescent="0.3">
      <c r="A335"/>
    </row>
    <row r="336" spans="1:1" x14ac:dyDescent="0.3">
      <c r="A336"/>
    </row>
    <row r="337" spans="1:1" x14ac:dyDescent="0.3">
      <c r="A337"/>
    </row>
    <row r="338" spans="1:1" x14ac:dyDescent="0.3">
      <c r="A338"/>
    </row>
    <row r="339" spans="1:1" x14ac:dyDescent="0.3">
      <c r="A339"/>
    </row>
    <row r="340" spans="1:1" x14ac:dyDescent="0.3">
      <c r="A340"/>
    </row>
    <row r="341" spans="1:1" x14ac:dyDescent="0.3">
      <c r="A341"/>
    </row>
    <row r="342" spans="1:1" x14ac:dyDescent="0.3">
      <c r="A342"/>
    </row>
    <row r="343" spans="1:1" x14ac:dyDescent="0.3">
      <c r="A343"/>
    </row>
    <row r="344" spans="1:1" x14ac:dyDescent="0.3">
      <c r="A344"/>
    </row>
    <row r="345" spans="1:1" x14ac:dyDescent="0.3">
      <c r="A345"/>
    </row>
    <row r="346" spans="1:1" x14ac:dyDescent="0.3">
      <c r="A346"/>
    </row>
    <row r="347" spans="1:1" x14ac:dyDescent="0.3">
      <c r="A347"/>
    </row>
    <row r="348" spans="1:1" x14ac:dyDescent="0.3">
      <c r="A348"/>
    </row>
    <row r="349" spans="1:1" x14ac:dyDescent="0.3">
      <c r="A349"/>
    </row>
    <row r="350" spans="1:1" x14ac:dyDescent="0.3">
      <c r="A350"/>
    </row>
    <row r="351" spans="1:1" x14ac:dyDescent="0.3">
      <c r="A351"/>
    </row>
    <row r="352" spans="1:1" x14ac:dyDescent="0.3">
      <c r="A352"/>
    </row>
    <row r="353" spans="1:1" x14ac:dyDescent="0.3">
      <c r="A353"/>
    </row>
    <row r="354" spans="1:1" x14ac:dyDescent="0.3">
      <c r="A354"/>
    </row>
    <row r="355" spans="1:1" x14ac:dyDescent="0.3">
      <c r="A355"/>
    </row>
    <row r="356" spans="1:1" x14ac:dyDescent="0.3">
      <c r="A356"/>
    </row>
    <row r="357" spans="1:1" x14ac:dyDescent="0.3">
      <c r="A357"/>
    </row>
    <row r="358" spans="1:1" x14ac:dyDescent="0.3">
      <c r="A358"/>
    </row>
    <row r="359" spans="1:1" x14ac:dyDescent="0.3">
      <c r="A359"/>
    </row>
    <row r="360" spans="1:1" x14ac:dyDescent="0.3">
      <c r="A360"/>
    </row>
    <row r="361" spans="1:1" x14ac:dyDescent="0.3">
      <c r="A361"/>
    </row>
    <row r="362" spans="1:1" x14ac:dyDescent="0.3">
      <c r="A362"/>
    </row>
    <row r="363" spans="1:1" x14ac:dyDescent="0.3">
      <c r="A363"/>
    </row>
    <row r="364" spans="1:1" x14ac:dyDescent="0.3">
      <c r="A364"/>
    </row>
    <row r="365" spans="1:1" x14ac:dyDescent="0.3">
      <c r="A365"/>
    </row>
    <row r="366" spans="1:1" x14ac:dyDescent="0.3">
      <c r="A366"/>
    </row>
    <row r="367" spans="1:1" x14ac:dyDescent="0.3">
      <c r="A367"/>
    </row>
    <row r="368" spans="1:1" x14ac:dyDescent="0.3">
      <c r="A368"/>
    </row>
    <row r="369" spans="1:1" x14ac:dyDescent="0.3">
      <c r="A369"/>
    </row>
    <row r="370" spans="1:1" x14ac:dyDescent="0.3">
      <c r="A370"/>
    </row>
    <row r="371" spans="1:1" x14ac:dyDescent="0.3">
      <c r="A371"/>
    </row>
    <row r="372" spans="1:1" x14ac:dyDescent="0.3">
      <c r="A372"/>
    </row>
    <row r="373" spans="1:1" x14ac:dyDescent="0.3">
      <c r="A373"/>
    </row>
    <row r="374" spans="1:1" x14ac:dyDescent="0.3">
      <c r="A374"/>
    </row>
    <row r="375" spans="1:1" x14ac:dyDescent="0.3">
      <c r="A375"/>
    </row>
    <row r="376" spans="1:1" x14ac:dyDescent="0.3">
      <c r="A376"/>
    </row>
    <row r="377" spans="1:1" x14ac:dyDescent="0.3">
      <c r="A377"/>
    </row>
    <row r="378" spans="1:1" x14ac:dyDescent="0.3">
      <c r="A378"/>
    </row>
    <row r="379" spans="1:1" x14ac:dyDescent="0.3">
      <c r="A379"/>
    </row>
    <row r="380" spans="1:1" x14ac:dyDescent="0.3">
      <c r="A380"/>
    </row>
    <row r="381" spans="1:1" x14ac:dyDescent="0.3">
      <c r="A381"/>
    </row>
    <row r="382" spans="1:1" x14ac:dyDescent="0.3">
      <c r="A382"/>
    </row>
    <row r="383" spans="1:1" x14ac:dyDescent="0.3">
      <c r="A383"/>
    </row>
    <row r="384" spans="1:1" x14ac:dyDescent="0.3">
      <c r="A384"/>
    </row>
    <row r="385" spans="1:1" x14ac:dyDescent="0.3">
      <c r="A385"/>
    </row>
    <row r="386" spans="1:1" x14ac:dyDescent="0.3">
      <c r="A386"/>
    </row>
    <row r="387" spans="1:1" x14ac:dyDescent="0.3">
      <c r="A387"/>
    </row>
    <row r="388" spans="1:1" x14ac:dyDescent="0.3">
      <c r="A388"/>
    </row>
    <row r="389" spans="1:1" x14ac:dyDescent="0.3">
      <c r="A389"/>
    </row>
    <row r="390" spans="1:1" x14ac:dyDescent="0.3">
      <c r="A390"/>
    </row>
    <row r="391" spans="1:1" x14ac:dyDescent="0.3">
      <c r="A391"/>
    </row>
    <row r="392" spans="1:1" x14ac:dyDescent="0.3">
      <c r="A392"/>
    </row>
    <row r="393" spans="1:1" x14ac:dyDescent="0.3">
      <c r="A393"/>
    </row>
    <row r="394" spans="1:1" x14ac:dyDescent="0.3">
      <c r="A394"/>
    </row>
    <row r="395" spans="1:1" x14ac:dyDescent="0.3">
      <c r="A395"/>
    </row>
    <row r="396" spans="1:1" x14ac:dyDescent="0.3">
      <c r="A396"/>
    </row>
    <row r="397" spans="1:1" x14ac:dyDescent="0.3">
      <c r="A397"/>
    </row>
    <row r="398" spans="1:1" x14ac:dyDescent="0.3">
      <c r="A398"/>
    </row>
    <row r="399" spans="1:1" x14ac:dyDescent="0.3">
      <c r="A399"/>
    </row>
    <row r="400" spans="1:1" x14ac:dyDescent="0.3">
      <c r="A400"/>
    </row>
    <row r="401" spans="1:1" x14ac:dyDescent="0.3">
      <c r="A401"/>
    </row>
    <row r="402" spans="1:1" x14ac:dyDescent="0.3">
      <c r="A402"/>
    </row>
    <row r="403" spans="1:1" x14ac:dyDescent="0.3">
      <c r="A403"/>
    </row>
    <row r="404" spans="1:1" x14ac:dyDescent="0.3">
      <c r="A404"/>
    </row>
    <row r="405" spans="1:1" x14ac:dyDescent="0.3">
      <c r="A405"/>
    </row>
    <row r="406" spans="1:1" x14ac:dyDescent="0.3">
      <c r="A406"/>
    </row>
    <row r="407" spans="1:1" x14ac:dyDescent="0.3">
      <c r="A407"/>
    </row>
    <row r="408" spans="1:1" x14ac:dyDescent="0.3">
      <c r="A408"/>
    </row>
    <row r="409" spans="1:1" x14ac:dyDescent="0.3">
      <c r="A409"/>
    </row>
    <row r="410" spans="1:1" x14ac:dyDescent="0.3">
      <c r="A410"/>
    </row>
    <row r="411" spans="1:1" x14ac:dyDescent="0.3">
      <c r="A411"/>
    </row>
    <row r="412" spans="1:1" x14ac:dyDescent="0.3">
      <c r="A412"/>
    </row>
    <row r="413" spans="1:1" x14ac:dyDescent="0.3">
      <c r="A413"/>
    </row>
    <row r="414" spans="1:1" x14ac:dyDescent="0.3">
      <c r="A414"/>
    </row>
    <row r="415" spans="1:1" x14ac:dyDescent="0.3">
      <c r="A415"/>
    </row>
    <row r="416" spans="1:1" x14ac:dyDescent="0.3">
      <c r="A416"/>
    </row>
    <row r="417" spans="1:1" x14ac:dyDescent="0.3">
      <c r="A417"/>
    </row>
    <row r="418" spans="1:1" x14ac:dyDescent="0.3">
      <c r="A418"/>
    </row>
    <row r="419" spans="1:1" x14ac:dyDescent="0.3">
      <c r="A419"/>
    </row>
    <row r="420" spans="1:1" x14ac:dyDescent="0.3">
      <c r="A420"/>
    </row>
    <row r="421" spans="1:1" x14ac:dyDescent="0.3">
      <c r="A421"/>
    </row>
    <row r="422" spans="1:1" x14ac:dyDescent="0.3">
      <c r="A422"/>
    </row>
    <row r="423" spans="1:1" x14ac:dyDescent="0.3">
      <c r="A423"/>
    </row>
    <row r="424" spans="1:1" x14ac:dyDescent="0.3">
      <c r="A424"/>
    </row>
    <row r="425" spans="1:1" x14ac:dyDescent="0.3">
      <c r="A425"/>
    </row>
    <row r="426" spans="1:1" x14ac:dyDescent="0.3">
      <c r="A426"/>
    </row>
    <row r="427" spans="1:1" x14ac:dyDescent="0.3">
      <c r="A427"/>
    </row>
    <row r="428" spans="1:1" x14ac:dyDescent="0.3">
      <c r="A428"/>
    </row>
    <row r="429" spans="1:1" x14ac:dyDescent="0.3">
      <c r="A429"/>
    </row>
    <row r="430" spans="1:1" x14ac:dyDescent="0.3">
      <c r="A430"/>
    </row>
    <row r="431" spans="1:1" x14ac:dyDescent="0.3">
      <c r="A431"/>
    </row>
    <row r="432" spans="1:1" x14ac:dyDescent="0.3">
      <c r="A432"/>
    </row>
    <row r="433" spans="1:1" x14ac:dyDescent="0.3">
      <c r="A433"/>
    </row>
    <row r="434" spans="1:1" x14ac:dyDescent="0.3">
      <c r="A434"/>
    </row>
    <row r="435" spans="1:1" x14ac:dyDescent="0.3">
      <c r="A435"/>
    </row>
    <row r="436" spans="1:1" x14ac:dyDescent="0.3">
      <c r="A436"/>
    </row>
    <row r="437" spans="1:1" x14ac:dyDescent="0.3">
      <c r="A437"/>
    </row>
    <row r="438" spans="1:1" x14ac:dyDescent="0.3">
      <c r="A438"/>
    </row>
    <row r="439" spans="1:1" x14ac:dyDescent="0.3">
      <c r="A439"/>
    </row>
    <row r="440" spans="1:1" x14ac:dyDescent="0.3">
      <c r="A440"/>
    </row>
    <row r="441" spans="1:1" x14ac:dyDescent="0.3">
      <c r="A441"/>
    </row>
    <row r="442" spans="1:1" x14ac:dyDescent="0.3">
      <c r="A442"/>
    </row>
    <row r="443" spans="1:1" x14ac:dyDescent="0.3">
      <c r="A443"/>
    </row>
    <row r="444" spans="1:1" x14ac:dyDescent="0.3">
      <c r="A444"/>
    </row>
    <row r="445" spans="1:1" x14ac:dyDescent="0.3">
      <c r="A445"/>
    </row>
    <row r="446" spans="1:1" x14ac:dyDescent="0.3">
      <c r="A446"/>
    </row>
    <row r="447" spans="1:1" x14ac:dyDescent="0.3">
      <c r="A447"/>
    </row>
    <row r="448" spans="1:1" x14ac:dyDescent="0.3">
      <c r="A448"/>
    </row>
    <row r="449" spans="1:1" x14ac:dyDescent="0.3">
      <c r="A449"/>
    </row>
    <row r="450" spans="1:1" x14ac:dyDescent="0.3">
      <c r="A450"/>
    </row>
    <row r="451" spans="1:1" x14ac:dyDescent="0.3">
      <c r="A451"/>
    </row>
    <row r="452" spans="1:1" x14ac:dyDescent="0.3">
      <c r="A452"/>
    </row>
    <row r="453" spans="1:1" x14ac:dyDescent="0.3">
      <c r="A453"/>
    </row>
    <row r="454" spans="1:1" x14ac:dyDescent="0.3">
      <c r="A454"/>
    </row>
    <row r="455" spans="1:1" x14ac:dyDescent="0.3">
      <c r="A455"/>
    </row>
    <row r="456" spans="1:1" x14ac:dyDescent="0.3">
      <c r="A456"/>
    </row>
    <row r="457" spans="1:1" x14ac:dyDescent="0.3">
      <c r="A457"/>
    </row>
    <row r="458" spans="1:1" x14ac:dyDescent="0.3">
      <c r="A458"/>
    </row>
    <row r="459" spans="1:1" x14ac:dyDescent="0.3">
      <c r="A459"/>
    </row>
    <row r="460" spans="1:1" x14ac:dyDescent="0.3">
      <c r="A460"/>
    </row>
    <row r="461" spans="1:1" x14ac:dyDescent="0.3">
      <c r="A461"/>
    </row>
    <row r="462" spans="1:1" x14ac:dyDescent="0.3">
      <c r="A462"/>
    </row>
    <row r="463" spans="1:1" x14ac:dyDescent="0.3">
      <c r="A463"/>
    </row>
    <row r="464" spans="1:1" x14ac:dyDescent="0.3">
      <c r="A464"/>
    </row>
    <row r="465" spans="1:1" x14ac:dyDescent="0.3">
      <c r="A465"/>
    </row>
    <row r="466" spans="1:1" x14ac:dyDescent="0.3">
      <c r="A466"/>
    </row>
    <row r="467" spans="1:1" x14ac:dyDescent="0.3">
      <c r="A467"/>
    </row>
    <row r="468" spans="1:1" x14ac:dyDescent="0.3">
      <c r="A468"/>
    </row>
    <row r="469" spans="1:1" x14ac:dyDescent="0.3">
      <c r="A469"/>
    </row>
    <row r="470" spans="1:1" x14ac:dyDescent="0.3">
      <c r="A470"/>
    </row>
    <row r="471" spans="1:1" x14ac:dyDescent="0.3">
      <c r="A471"/>
    </row>
    <row r="472" spans="1:1" x14ac:dyDescent="0.3">
      <c r="A472"/>
    </row>
    <row r="473" spans="1:1" x14ac:dyDescent="0.3">
      <c r="A473"/>
    </row>
    <row r="474" spans="1:1" x14ac:dyDescent="0.3">
      <c r="A474"/>
    </row>
    <row r="475" spans="1:1" x14ac:dyDescent="0.3">
      <c r="A475"/>
    </row>
    <row r="476" spans="1:1" x14ac:dyDescent="0.3">
      <c r="A476"/>
    </row>
    <row r="477" spans="1:1" x14ac:dyDescent="0.3">
      <c r="A477"/>
    </row>
    <row r="478" spans="1:1" x14ac:dyDescent="0.3">
      <c r="A478"/>
    </row>
    <row r="479" spans="1:1" x14ac:dyDescent="0.3">
      <c r="A479"/>
    </row>
    <row r="480" spans="1:1" x14ac:dyDescent="0.3">
      <c r="A480"/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4666F-AF61-4441-9D2D-9A4DA4715A2B}">
  <dimension ref="A1:J188"/>
  <sheetViews>
    <sheetView zoomScale="120" zoomScaleNormal="120" workbookViewId="0">
      <selection activeCell="B4" sqref="B4"/>
    </sheetView>
  </sheetViews>
  <sheetFormatPr baseColWidth="10" defaultRowHeight="14.4" x14ac:dyDescent="0.3"/>
  <cols>
    <col min="1" max="1" width="4.6640625" style="31" customWidth="1"/>
    <col min="2" max="2" width="4.33203125" customWidth="1"/>
    <col min="3" max="3" width="10.6640625" style="49" customWidth="1"/>
    <col min="4" max="4" width="12.33203125" customWidth="1"/>
    <col min="5" max="5" width="11.6640625" customWidth="1"/>
    <col min="6" max="6" width="4.88671875" bestFit="1" customWidth="1"/>
    <col min="7" max="7" width="12.44140625" customWidth="1"/>
    <col min="8" max="8" width="11.6640625" customWidth="1"/>
    <col min="9" max="22" width="10.6640625" customWidth="1"/>
  </cols>
  <sheetData>
    <row r="1" spans="1:10" s="27" customFormat="1" ht="24" thickBot="1" x14ac:dyDescent="0.35">
      <c r="A1" s="33">
        <f>IF(Indicaciones!G18="","",SUM(A9:A16))</f>
        <v>0</v>
      </c>
      <c r="B1" s="26" t="s">
        <v>24</v>
      </c>
      <c r="C1" s="54"/>
    </row>
    <row r="2" spans="1:10" s="30" customFormat="1" ht="14.55" thickTop="1" x14ac:dyDescent="0.3">
      <c r="A2" s="34"/>
      <c r="B2" s="34"/>
      <c r="C2" s="34"/>
      <c r="D2" s="34"/>
      <c r="E2" s="34"/>
      <c r="F2" s="34"/>
      <c r="G2" s="34"/>
      <c r="H2" s="32"/>
    </row>
    <row r="3" spans="1:10" s="30" customFormat="1" ht="13.95" x14ac:dyDescent="0.3">
      <c r="A3" s="34"/>
      <c r="B3" s="34"/>
      <c r="C3" s="34"/>
      <c r="D3" s="34"/>
      <c r="E3" s="34"/>
      <c r="F3" s="34"/>
      <c r="G3" s="34"/>
      <c r="H3" s="32"/>
    </row>
    <row r="4" spans="1:10" ht="13.95" x14ac:dyDescent="0.3">
      <c r="B4" s="31"/>
      <c r="C4" s="31"/>
      <c r="D4" s="31"/>
      <c r="E4" s="31"/>
      <c r="F4" s="31"/>
      <c r="G4" s="31"/>
      <c r="J4" s="36"/>
    </row>
    <row r="5" spans="1:10" ht="13.95" x14ac:dyDescent="0.3">
      <c r="B5" s="31"/>
      <c r="C5" s="31"/>
      <c r="D5" s="31"/>
      <c r="E5" s="31"/>
      <c r="F5" s="31"/>
      <c r="G5" s="31"/>
      <c r="J5" s="36"/>
    </row>
    <row r="6" spans="1:10" ht="13.95" x14ac:dyDescent="0.3">
      <c r="B6" s="31"/>
      <c r="C6" s="31"/>
      <c r="D6" s="31"/>
      <c r="E6" s="31"/>
      <c r="F6" s="31"/>
      <c r="G6" s="31"/>
      <c r="J6" s="36"/>
    </row>
    <row r="7" spans="1:10" ht="13.95" x14ac:dyDescent="0.3">
      <c r="B7" s="31"/>
      <c r="C7" s="31"/>
      <c r="D7" s="31"/>
      <c r="E7" s="31"/>
      <c r="F7" s="31"/>
      <c r="G7" s="31"/>
      <c r="I7" s="55"/>
    </row>
    <row r="8" spans="1:10" ht="13.95" x14ac:dyDescent="0.3">
      <c r="B8" s="49"/>
    </row>
    <row r="9" spans="1:10" x14ac:dyDescent="0.3">
      <c r="A9" s="46"/>
      <c r="B9" s="36" t="s">
        <v>8</v>
      </c>
      <c r="C9" s="47">
        <v>1</v>
      </c>
      <c r="D9" t="s">
        <v>49</v>
      </c>
      <c r="H9" s="56"/>
    </row>
    <row r="10" spans="1:10" ht="13.95" x14ac:dyDescent="0.3">
      <c r="A10" s="46"/>
      <c r="B10" s="49"/>
    </row>
    <row r="11" spans="1:10" x14ac:dyDescent="0.3">
      <c r="A11" s="46"/>
      <c r="B11" s="36" t="s">
        <v>9</v>
      </c>
      <c r="C11" s="47">
        <v>1</v>
      </c>
      <c r="D11" s="50" t="s">
        <v>50</v>
      </c>
      <c r="H11" s="56"/>
      <c r="J11" s="36"/>
    </row>
    <row r="12" spans="1:10" ht="13.95" x14ac:dyDescent="0.3">
      <c r="B12" s="49"/>
      <c r="J12" s="36"/>
    </row>
    <row r="13" spans="1:10" x14ac:dyDescent="0.3">
      <c r="A13" s="46"/>
      <c r="B13" s="36" t="s">
        <v>10</v>
      </c>
      <c r="C13" s="47">
        <v>1</v>
      </c>
      <c r="D13" s="50" t="s">
        <v>48</v>
      </c>
    </row>
    <row r="14" spans="1:10" ht="13.95" x14ac:dyDescent="0.3">
      <c r="A14" s="46"/>
      <c r="B14" s="49"/>
      <c r="D14" s="49" t="s">
        <v>96</v>
      </c>
      <c r="E14" s="58"/>
      <c r="F14" s="49"/>
      <c r="G14" s="37" t="s">
        <v>97</v>
      </c>
      <c r="H14" s="58"/>
    </row>
    <row r="15" spans="1:10" ht="13.95" x14ac:dyDescent="0.3">
      <c r="A15" s="46"/>
      <c r="C15"/>
    </row>
    <row r="16" spans="1:10" x14ac:dyDescent="0.3">
      <c r="A16" s="46"/>
      <c r="B16" s="36" t="s">
        <v>11</v>
      </c>
      <c r="C16" s="47">
        <v>2</v>
      </c>
      <c r="D16" s="57" t="s">
        <v>105</v>
      </c>
    </row>
    <row r="17" spans="1:8" ht="13.95" x14ac:dyDescent="0.3">
      <c r="A17"/>
      <c r="H17" s="58"/>
    </row>
    <row r="18" spans="1:8" ht="13.95" x14ac:dyDescent="0.3">
      <c r="A18"/>
    </row>
    <row r="19" spans="1:8" ht="13.95" x14ac:dyDescent="0.3">
      <c r="A19"/>
    </row>
    <row r="20" spans="1:8" ht="13.95" x14ac:dyDescent="0.3">
      <c r="A20"/>
    </row>
    <row r="21" spans="1:8" ht="13.95" x14ac:dyDescent="0.3">
      <c r="A21"/>
    </row>
    <row r="22" spans="1:8" ht="13.95" x14ac:dyDescent="0.3">
      <c r="A22"/>
    </row>
    <row r="23" spans="1:8" ht="13.95" x14ac:dyDescent="0.3">
      <c r="A23"/>
    </row>
    <row r="24" spans="1:8" x14ac:dyDescent="0.3">
      <c r="A24"/>
    </row>
    <row r="25" spans="1:8" x14ac:dyDescent="0.3">
      <c r="A25"/>
    </row>
    <row r="26" spans="1:8" x14ac:dyDescent="0.3">
      <c r="A26"/>
    </row>
    <row r="27" spans="1:8" x14ac:dyDescent="0.3">
      <c r="A27"/>
    </row>
    <row r="28" spans="1:8" x14ac:dyDescent="0.3">
      <c r="A28"/>
    </row>
    <row r="29" spans="1:8" x14ac:dyDescent="0.3">
      <c r="A29"/>
    </row>
    <row r="30" spans="1:8" x14ac:dyDescent="0.3">
      <c r="A30"/>
    </row>
    <row r="31" spans="1:8" x14ac:dyDescent="0.3">
      <c r="A31"/>
    </row>
    <row r="32" spans="1:8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47" spans="1:1" x14ac:dyDescent="0.3">
      <c r="A47"/>
    </row>
    <row r="48" spans="1:1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x14ac:dyDescent="0.3">
      <c r="A107"/>
    </row>
    <row r="108" spans="1:1" x14ac:dyDescent="0.3">
      <c r="A108"/>
    </row>
    <row r="109" spans="1:1" x14ac:dyDescent="0.3">
      <c r="A109"/>
    </row>
    <row r="110" spans="1:1" x14ac:dyDescent="0.3">
      <c r="A110"/>
    </row>
    <row r="111" spans="1:1" x14ac:dyDescent="0.3">
      <c r="A111"/>
    </row>
    <row r="112" spans="1:1" x14ac:dyDescent="0.3">
      <c r="A112"/>
    </row>
    <row r="113" spans="1:1" x14ac:dyDescent="0.3">
      <c r="A113"/>
    </row>
    <row r="114" spans="1:1" x14ac:dyDescent="0.3">
      <c r="A114"/>
    </row>
    <row r="115" spans="1:1" x14ac:dyDescent="0.3">
      <c r="A115"/>
    </row>
    <row r="116" spans="1:1" x14ac:dyDescent="0.3">
      <c r="A116"/>
    </row>
    <row r="117" spans="1:1" x14ac:dyDescent="0.3">
      <c r="A117"/>
    </row>
    <row r="118" spans="1:1" x14ac:dyDescent="0.3">
      <c r="A118"/>
    </row>
    <row r="119" spans="1:1" x14ac:dyDescent="0.3">
      <c r="A119"/>
    </row>
    <row r="120" spans="1:1" x14ac:dyDescent="0.3">
      <c r="A120"/>
    </row>
    <row r="121" spans="1:1" x14ac:dyDescent="0.3">
      <c r="A121"/>
    </row>
    <row r="122" spans="1:1" x14ac:dyDescent="0.3">
      <c r="A122"/>
    </row>
    <row r="123" spans="1:1" x14ac:dyDescent="0.3">
      <c r="A123"/>
    </row>
    <row r="124" spans="1:1" x14ac:dyDescent="0.3">
      <c r="A124"/>
    </row>
    <row r="125" spans="1:1" x14ac:dyDescent="0.3">
      <c r="A125"/>
    </row>
    <row r="126" spans="1:1" x14ac:dyDescent="0.3">
      <c r="A126"/>
    </row>
    <row r="127" spans="1:1" x14ac:dyDescent="0.3">
      <c r="A127"/>
    </row>
    <row r="128" spans="1:1" x14ac:dyDescent="0.3">
      <c r="A128"/>
    </row>
    <row r="129" spans="1:1" x14ac:dyDescent="0.3">
      <c r="A129"/>
    </row>
    <row r="130" spans="1:1" x14ac:dyDescent="0.3">
      <c r="A130"/>
    </row>
    <row r="131" spans="1:1" x14ac:dyDescent="0.3">
      <c r="A131"/>
    </row>
    <row r="132" spans="1:1" x14ac:dyDescent="0.3">
      <c r="A132"/>
    </row>
    <row r="133" spans="1:1" x14ac:dyDescent="0.3">
      <c r="A133"/>
    </row>
    <row r="134" spans="1:1" x14ac:dyDescent="0.3">
      <c r="A134"/>
    </row>
    <row r="135" spans="1:1" x14ac:dyDescent="0.3">
      <c r="A135"/>
    </row>
    <row r="136" spans="1:1" x14ac:dyDescent="0.3">
      <c r="A136"/>
    </row>
    <row r="137" spans="1:1" x14ac:dyDescent="0.3">
      <c r="A137"/>
    </row>
    <row r="138" spans="1:1" x14ac:dyDescent="0.3">
      <c r="A138"/>
    </row>
    <row r="139" spans="1:1" x14ac:dyDescent="0.3">
      <c r="A139"/>
    </row>
    <row r="140" spans="1:1" x14ac:dyDescent="0.3">
      <c r="A140"/>
    </row>
    <row r="141" spans="1:1" x14ac:dyDescent="0.3">
      <c r="A141"/>
    </row>
    <row r="142" spans="1:1" x14ac:dyDescent="0.3">
      <c r="A142"/>
    </row>
    <row r="143" spans="1:1" x14ac:dyDescent="0.3">
      <c r="A143"/>
    </row>
    <row r="144" spans="1:1" x14ac:dyDescent="0.3">
      <c r="A144"/>
    </row>
    <row r="145" spans="1:1" x14ac:dyDescent="0.3">
      <c r="A145"/>
    </row>
    <row r="146" spans="1:1" x14ac:dyDescent="0.3">
      <c r="A146"/>
    </row>
    <row r="147" spans="1:1" x14ac:dyDescent="0.3">
      <c r="A147"/>
    </row>
    <row r="148" spans="1:1" x14ac:dyDescent="0.3">
      <c r="A148"/>
    </row>
    <row r="149" spans="1:1" x14ac:dyDescent="0.3">
      <c r="A149"/>
    </row>
    <row r="150" spans="1:1" x14ac:dyDescent="0.3">
      <c r="A150"/>
    </row>
    <row r="151" spans="1:1" x14ac:dyDescent="0.3">
      <c r="A151"/>
    </row>
    <row r="152" spans="1:1" x14ac:dyDescent="0.3">
      <c r="A152"/>
    </row>
    <row r="153" spans="1:1" x14ac:dyDescent="0.3">
      <c r="A153"/>
    </row>
    <row r="154" spans="1:1" x14ac:dyDescent="0.3">
      <c r="A154"/>
    </row>
    <row r="155" spans="1:1" x14ac:dyDescent="0.3">
      <c r="A155"/>
    </row>
    <row r="156" spans="1:1" x14ac:dyDescent="0.3">
      <c r="A156"/>
    </row>
    <row r="157" spans="1:1" x14ac:dyDescent="0.3">
      <c r="A157"/>
    </row>
    <row r="158" spans="1:1" x14ac:dyDescent="0.3">
      <c r="A158"/>
    </row>
    <row r="159" spans="1:1" x14ac:dyDescent="0.3">
      <c r="A159"/>
    </row>
    <row r="160" spans="1:1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  <row r="166" spans="1:1" x14ac:dyDescent="0.3">
      <c r="A166"/>
    </row>
    <row r="167" spans="1:1" x14ac:dyDescent="0.3">
      <c r="A167"/>
    </row>
    <row r="168" spans="1:1" x14ac:dyDescent="0.3">
      <c r="A168"/>
    </row>
    <row r="169" spans="1:1" x14ac:dyDescent="0.3">
      <c r="A169"/>
    </row>
    <row r="170" spans="1:1" x14ac:dyDescent="0.3">
      <c r="A170"/>
    </row>
    <row r="171" spans="1:1" x14ac:dyDescent="0.3">
      <c r="A171"/>
    </row>
    <row r="172" spans="1:1" x14ac:dyDescent="0.3">
      <c r="A172"/>
    </row>
    <row r="173" spans="1:1" x14ac:dyDescent="0.3">
      <c r="A173"/>
    </row>
    <row r="174" spans="1:1" x14ac:dyDescent="0.3">
      <c r="A174"/>
    </row>
    <row r="175" spans="1:1" x14ac:dyDescent="0.3">
      <c r="A175"/>
    </row>
    <row r="176" spans="1:1" x14ac:dyDescent="0.3">
      <c r="A176"/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  <row r="184" spans="1:1" x14ac:dyDescent="0.3">
      <c r="A184"/>
    </row>
    <row r="185" spans="1:1" x14ac:dyDescent="0.3">
      <c r="A185"/>
    </row>
    <row r="186" spans="1:1" x14ac:dyDescent="0.3">
      <c r="A186"/>
    </row>
    <row r="187" spans="1:1" x14ac:dyDescent="0.3">
      <c r="A187"/>
    </row>
    <row r="188" spans="1:1" x14ac:dyDescent="0.3">
      <c r="A188"/>
    </row>
  </sheetData>
  <phoneticPr fontId="6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Indicaciones</vt:lpstr>
      <vt:lpstr>Parte 1</vt:lpstr>
      <vt:lpstr>Parte 2</vt:lpstr>
      <vt:lpstr>Parte 3</vt:lpstr>
      <vt:lpstr>Parte 4</vt:lpstr>
      <vt:lpstr>Parte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Velásquez</dc:creator>
  <cp:lastModifiedBy>Natalia Watson</cp:lastModifiedBy>
  <cp:lastPrinted>2023-10-07T03:54:04Z</cp:lastPrinted>
  <dcterms:created xsi:type="dcterms:W3CDTF">2015-06-05T18:19:34Z</dcterms:created>
  <dcterms:modified xsi:type="dcterms:W3CDTF">2025-11-03T20:45:50Z</dcterms:modified>
</cp:coreProperties>
</file>